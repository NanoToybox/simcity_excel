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915" codeName="{33BBC38B-C2DA-FC69-06AC-9F67D96B6324}"/>
  <workbookPr codeName="ThisWorkbook" autoCompressPictures="0"/>
  <bookViews>
    <workbookView xWindow="0" yWindow="0" windowWidth="25600" windowHeight="14680"/>
  </bookViews>
  <sheets>
    <sheet name="main" sheetId="1" r:id="rId1"/>
    <sheet name="raw data" sheetId="3" r:id="rId2"/>
    <sheet name="balance" sheetId="4" r:id="rId3"/>
    <sheet name="log" sheetId="5" r:id="rId4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3" l="1"/>
  <c r="K21" i="3"/>
  <c r="K20" i="3"/>
  <c r="K19" i="3"/>
  <c r="K18" i="3"/>
  <c r="K17" i="3"/>
  <c r="K16" i="3"/>
  <c r="K15" i="3"/>
  <c r="K14" i="3"/>
  <c r="J19" i="3"/>
  <c r="J22" i="3"/>
  <c r="J21" i="3"/>
  <c r="J20" i="3"/>
  <c r="J18" i="3"/>
  <c r="J17" i="3"/>
  <c r="J16" i="3"/>
  <c r="J15" i="3"/>
  <c r="J14" i="3"/>
  <c r="T61" i="3"/>
  <c r="T60" i="3"/>
  <c r="T59" i="3"/>
  <c r="T58" i="3"/>
  <c r="T57" i="3"/>
  <c r="T56" i="3"/>
  <c r="T55" i="3"/>
  <c r="T54" i="3"/>
  <c r="C54" i="3"/>
  <c r="T53" i="3"/>
  <c r="D11" i="3"/>
  <c r="L22" i="3"/>
  <c r="D10" i="3"/>
  <c r="L21" i="3"/>
  <c r="D9" i="3"/>
  <c r="D8" i="3"/>
  <c r="D7" i="3"/>
  <c r="D6" i="3"/>
  <c r="D5" i="3"/>
  <c r="D4" i="3"/>
  <c r="N36" i="3"/>
  <c r="D3" i="3"/>
  <c r="L14" i="3"/>
  <c r="C56" i="3"/>
  <c r="C61" i="3"/>
  <c r="C53" i="3"/>
  <c r="C58" i="3"/>
  <c r="C55" i="3"/>
  <c r="C59" i="3"/>
  <c r="C60" i="3"/>
  <c r="C57" i="3"/>
  <c r="E9" i="3"/>
  <c r="F11" i="3"/>
  <c r="F10" i="3"/>
  <c r="F9" i="3"/>
  <c r="F8" i="3"/>
  <c r="F7" i="3"/>
  <c r="F5" i="3"/>
  <c r="F4" i="3"/>
  <c r="F3" i="3"/>
  <c r="O6" i="3"/>
  <c r="O5" i="3"/>
  <c r="E55" i="3"/>
  <c r="G59" i="3"/>
  <c r="B28" i="1"/>
  <c r="E54" i="3"/>
  <c r="E53" i="3"/>
  <c r="G53" i="3"/>
  <c r="B26" i="1"/>
  <c r="E56" i="3"/>
  <c r="J7" i="3"/>
  <c r="J6" i="3"/>
  <c r="J5" i="3"/>
  <c r="J4" i="3"/>
  <c r="U19" i="3"/>
  <c r="V19" i="3"/>
  <c r="U17" i="3"/>
  <c r="G56" i="3"/>
  <c r="B27" i="1"/>
  <c r="G61" i="3"/>
  <c r="D28" i="1"/>
  <c r="G60" i="3"/>
  <c r="C28" i="1"/>
  <c r="G57" i="3"/>
  <c r="C27" i="1"/>
  <c r="G55" i="3"/>
  <c r="D26" i="1"/>
  <c r="G54" i="3"/>
  <c r="C26" i="1"/>
  <c r="G58" i="3"/>
  <c r="D27" i="1"/>
  <c r="H11" i="3"/>
  <c r="H10" i="3"/>
  <c r="H9" i="3"/>
  <c r="H8" i="3"/>
  <c r="H7" i="3"/>
  <c r="H6" i="3"/>
  <c r="H5" i="3"/>
  <c r="H4" i="3"/>
  <c r="H3" i="3"/>
  <c r="I10" i="4"/>
  <c r="I9" i="4"/>
  <c r="I6" i="4"/>
  <c r="I3" i="4"/>
  <c r="I2" i="4"/>
  <c r="S2" i="4"/>
  <c r="E11" i="3"/>
  <c r="E10" i="3"/>
  <c r="E8" i="3"/>
  <c r="E7" i="3"/>
  <c r="E6" i="3"/>
  <c r="E5" i="3"/>
  <c r="E4" i="3"/>
  <c r="E3" i="3"/>
  <c r="N11" i="3"/>
  <c r="U28" i="1"/>
  <c r="N10" i="3"/>
  <c r="U27" i="1"/>
  <c r="N9" i="3"/>
  <c r="U26" i="1"/>
  <c r="N8" i="3"/>
  <c r="U25" i="1"/>
  <c r="N7" i="3"/>
  <c r="U24" i="1"/>
  <c r="N6" i="3"/>
  <c r="U23" i="1"/>
  <c r="N5" i="3"/>
  <c r="U22" i="1"/>
  <c r="N4" i="3"/>
  <c r="U21" i="1"/>
  <c r="N3" i="3"/>
  <c r="U20" i="1"/>
  <c r="F22" i="3"/>
  <c r="F21" i="3"/>
  <c r="F20" i="3"/>
  <c r="F18" i="3"/>
  <c r="F17" i="3"/>
  <c r="F15" i="3"/>
  <c r="F14" i="3"/>
  <c r="J7" i="4"/>
  <c r="I7" i="4"/>
  <c r="J4" i="4"/>
  <c r="I4" i="4"/>
  <c r="S4" i="4"/>
  <c r="E22" i="3"/>
  <c r="E21" i="3"/>
  <c r="E20" i="3"/>
  <c r="E19" i="3"/>
  <c r="E18" i="3"/>
  <c r="E17" i="3"/>
  <c r="E16" i="3"/>
  <c r="E15" i="3"/>
  <c r="E14" i="3"/>
  <c r="F19" i="3"/>
  <c r="H19" i="3"/>
  <c r="F16" i="3"/>
  <c r="H16" i="3"/>
  <c r="I27" i="4"/>
  <c r="M27" i="4"/>
  <c r="S6" i="4"/>
  <c r="I24" i="4"/>
  <c r="M24" i="4"/>
  <c r="S3" i="4"/>
  <c r="I30" i="4"/>
  <c r="M30" i="4"/>
  <c r="S9" i="4"/>
  <c r="I28" i="4"/>
  <c r="M28" i="4"/>
  <c r="S7" i="4"/>
  <c r="I31" i="4"/>
  <c r="M31" i="4"/>
  <c r="S10" i="4"/>
  <c r="I23" i="4"/>
  <c r="M23" i="4"/>
  <c r="I25" i="4"/>
  <c r="M25" i="4"/>
  <c r="I5" i="4"/>
  <c r="I26" i="4"/>
  <c r="M26" i="4"/>
  <c r="S5" i="4"/>
  <c r="I8" i="4"/>
  <c r="J22" i="1"/>
  <c r="N19" i="1"/>
  <c r="B22" i="1"/>
  <c r="G23" i="3"/>
  <c r="S8" i="4"/>
  <c r="S13" i="4"/>
  <c r="M11" i="4"/>
  <c r="I29" i="4"/>
  <c r="G11" i="3"/>
  <c r="G10" i="3"/>
  <c r="J26" i="4"/>
  <c r="F6" i="3"/>
  <c r="M29" i="4"/>
  <c r="G9" i="3"/>
  <c r="G4" i="3"/>
  <c r="M33" i="4"/>
  <c r="L33" i="4"/>
  <c r="G5" i="3"/>
  <c r="H17" i="3"/>
  <c r="I17" i="3"/>
  <c r="L17" i="3"/>
  <c r="G8" i="3"/>
  <c r="G6" i="3"/>
  <c r="H20" i="3"/>
  <c r="G3" i="3"/>
  <c r="D38" i="3"/>
  <c r="D19" i="1"/>
  <c r="G7" i="3"/>
  <c r="Q38" i="3"/>
  <c r="I16" i="3"/>
  <c r="L16" i="3"/>
  <c r="I20" i="3"/>
  <c r="L20" i="3"/>
  <c r="K38" i="3"/>
  <c r="P19" i="1"/>
  <c r="H18" i="3"/>
  <c r="I18" i="3"/>
  <c r="L18" i="3"/>
  <c r="K11" i="3"/>
  <c r="K3" i="3"/>
  <c r="K10" i="3"/>
  <c r="K7" i="3"/>
  <c r="K6" i="3"/>
  <c r="K5" i="3"/>
  <c r="K8" i="3"/>
  <c r="H15" i="3"/>
  <c r="I15" i="3"/>
  <c r="L15" i="3"/>
  <c r="K4" i="3"/>
  <c r="J19" i="1"/>
  <c r="K9" i="3"/>
  <c r="I19" i="3"/>
  <c r="L19" i="3"/>
  <c r="L24" i="3"/>
  <c r="K24" i="3"/>
  <c r="G38" i="3"/>
  <c r="AC3" i="1"/>
  <c r="G19" i="1"/>
  <c r="B38" i="3"/>
  <c r="A19" i="1"/>
  <c r="O11" i="4"/>
  <c r="N11" i="4"/>
  <c r="P13" i="4"/>
</calcChain>
</file>

<file path=xl/sharedStrings.xml><?xml version="1.0" encoding="utf-8"?>
<sst xmlns="http://schemas.openxmlformats.org/spreadsheetml/2006/main" count="225" uniqueCount="174">
  <si>
    <t>ref</t>
    <phoneticPr fontId="2" type="noConversion"/>
  </si>
  <si>
    <t>count</t>
    <phoneticPr fontId="2" type="noConversion"/>
  </si>
  <si>
    <t>maintainence</t>
    <phoneticPr fontId="2" type="noConversion"/>
  </si>
  <si>
    <t>tax rate</t>
    <phoneticPr fontId="2" type="noConversion"/>
  </si>
  <si>
    <t>income</t>
    <phoneticPr fontId="2" type="noConversion"/>
  </si>
  <si>
    <t>total</t>
    <phoneticPr fontId="2" type="noConversion"/>
  </si>
  <si>
    <t>total income</t>
    <phoneticPr fontId="2" type="noConversion"/>
  </si>
  <si>
    <t>profit</t>
    <phoneticPr fontId="2" type="noConversion"/>
  </si>
  <si>
    <t>total spend</t>
    <phoneticPr fontId="2" type="noConversion"/>
  </si>
  <si>
    <t>people</t>
    <phoneticPr fontId="2" type="noConversion"/>
  </si>
  <si>
    <t>job/t</t>
    <phoneticPr fontId="2" type="noConversion"/>
  </si>
  <si>
    <t>open jobs</t>
    <phoneticPr fontId="2" type="noConversion"/>
  </si>
  <si>
    <t>cur_demand</t>
    <phoneticPr fontId="2" type="noConversion"/>
  </si>
  <si>
    <t>req. code</t>
    <phoneticPr fontId="2" type="noConversion"/>
  </si>
  <si>
    <t>ax. Income</t>
    <phoneticPr fontId="2" type="noConversion"/>
  </si>
  <si>
    <t>total job</t>
    <phoneticPr fontId="2" type="noConversion"/>
  </si>
  <si>
    <t>total people</t>
    <phoneticPr fontId="2" type="noConversion"/>
  </si>
  <si>
    <t>total jobs</t>
    <phoneticPr fontId="2" type="noConversion"/>
  </si>
  <si>
    <t>work will</t>
    <phoneticPr fontId="2" type="noConversion"/>
  </si>
  <si>
    <t>day</t>
    <phoneticPr fontId="2" type="noConversion"/>
  </si>
  <si>
    <t>money</t>
    <phoneticPr fontId="2" type="noConversion"/>
  </si>
  <si>
    <t>savings, DON'T  TOUCH</t>
    <phoneticPr fontId="2" type="noConversion"/>
  </si>
  <si>
    <t>cost</t>
    <phoneticPr fontId="2" type="noConversion"/>
  </si>
  <si>
    <t>happiness/t</t>
    <phoneticPr fontId="2" type="noConversion"/>
  </si>
  <si>
    <t>people_count</t>
    <phoneticPr fontId="2" type="noConversion"/>
  </si>
  <si>
    <t>cost_count</t>
    <phoneticPr fontId="2" type="noConversion"/>
  </si>
  <si>
    <t>immigrant</t>
    <phoneticPr fontId="2" type="noConversion"/>
  </si>
  <si>
    <t>delta happiness</t>
    <phoneticPr fontId="2" type="noConversion"/>
  </si>
  <si>
    <t>操作区</t>
    <phoneticPr fontId="2" type="noConversion"/>
  </si>
  <si>
    <t>地图</t>
  </si>
  <si>
    <t>净收入</t>
    <phoneticPr fontId="2" type="noConversion"/>
  </si>
  <si>
    <t>总花费</t>
    <phoneticPr fontId="2" type="noConversion"/>
  </si>
  <si>
    <t>总收入</t>
    <phoneticPr fontId="2" type="noConversion"/>
  </si>
  <si>
    <t>总人口</t>
    <phoneticPr fontId="2" type="noConversion"/>
  </si>
  <si>
    <t>总工作</t>
    <phoneticPr fontId="2" type="noConversion"/>
  </si>
  <si>
    <t>日数</t>
    <phoneticPr fontId="2" type="noConversion"/>
  </si>
  <si>
    <t>现金</t>
    <phoneticPr fontId="2" type="noConversion"/>
  </si>
  <si>
    <t>道路</t>
    <phoneticPr fontId="2" type="noConversion"/>
  </si>
  <si>
    <t>住房</t>
    <phoneticPr fontId="2" type="noConversion"/>
  </si>
  <si>
    <t>商业</t>
    <phoneticPr fontId="2" type="noConversion"/>
  </si>
  <si>
    <t>工业</t>
    <phoneticPr fontId="2" type="noConversion"/>
  </si>
  <si>
    <t>农业</t>
    <phoneticPr fontId="2" type="noConversion"/>
  </si>
  <si>
    <t>公众设施</t>
    <phoneticPr fontId="2" type="noConversion"/>
  </si>
  <si>
    <t>水电建筑</t>
    <phoneticPr fontId="2" type="noConversion"/>
  </si>
  <si>
    <t>图表</t>
    <phoneticPr fontId="2" type="noConversion"/>
  </si>
  <si>
    <t>空闲工作机会</t>
    <phoneticPr fontId="2" type="noConversion"/>
  </si>
  <si>
    <t>req/per</t>
    <phoneticPr fontId="2" type="noConversion"/>
  </si>
  <si>
    <t>demand after tax</t>
    <phoneticPr fontId="2" type="noConversion"/>
  </si>
  <si>
    <t>merely by number of people</t>
    <phoneticPr fontId="2" type="noConversion"/>
  </si>
  <si>
    <t>by jobs available</t>
    <phoneticPr fontId="2" type="noConversion"/>
  </si>
  <si>
    <t>goods</t>
    <phoneticPr fontId="2" type="noConversion"/>
  </si>
  <si>
    <t>commercial needs</t>
    <phoneticPr fontId="2" type="noConversion"/>
  </si>
  <si>
    <t>simcity4 design ref</t>
    <phoneticPr fontId="2" type="noConversion"/>
  </si>
  <si>
    <t>RCI</t>
    <phoneticPr fontId="2" type="noConversion"/>
  </si>
  <si>
    <t>commercial</t>
    <phoneticPr fontId="2" type="noConversion"/>
  </si>
  <si>
    <t>industry</t>
    <phoneticPr fontId="2" type="noConversion"/>
  </si>
  <si>
    <t>residential</t>
    <phoneticPr fontId="2" type="noConversion"/>
  </si>
  <si>
    <t>pub</t>
    <phoneticPr fontId="2" type="noConversion"/>
  </si>
  <si>
    <t>res</t>
    <phoneticPr fontId="2" type="noConversion"/>
  </si>
  <si>
    <t>tax</t>
    <phoneticPr fontId="2" type="noConversion"/>
  </si>
  <si>
    <t>C</t>
    <phoneticPr fontId="2" type="noConversion"/>
  </si>
  <si>
    <t>R</t>
    <phoneticPr fontId="2" type="noConversion"/>
  </si>
  <si>
    <t>I</t>
    <phoneticPr fontId="2" type="noConversion"/>
  </si>
  <si>
    <t>default</t>
    <phoneticPr fontId="2" type="noConversion"/>
  </si>
  <si>
    <t>water/elec need</t>
    <phoneticPr fontId="2" type="noConversion"/>
  </si>
  <si>
    <t>Nres/t</t>
    <phoneticPr fontId="2" type="noConversion"/>
  </si>
  <si>
    <t>Req/pop</t>
    <phoneticPr fontId="2" type="noConversion"/>
  </si>
  <si>
    <t>spend</t>
    <phoneticPr fontId="2" type="noConversion"/>
  </si>
  <si>
    <t>eco balance</t>
    <phoneticPr fontId="2" type="noConversion"/>
  </si>
  <si>
    <t>input range</t>
    <phoneticPr fontId="2" type="noConversion"/>
  </si>
  <si>
    <t>0-20%</t>
    <phoneticPr fontId="2" type="noConversion"/>
  </si>
  <si>
    <t>0-100%</t>
    <phoneticPr fontId="2" type="noConversion"/>
  </si>
  <si>
    <t>deminishing returns</t>
    <phoneticPr fontId="2" type="noConversion"/>
  </si>
  <si>
    <t>better to have</t>
    <phoneticPr fontId="2" type="noConversion"/>
  </si>
  <si>
    <t>actually should be seveal separate funcs</t>
    <phoneticPr fontId="2" type="noConversion"/>
  </si>
  <si>
    <t>desired num</t>
    <phoneticPr fontId="2" type="noConversion"/>
  </si>
  <si>
    <t>pop</t>
    <phoneticPr fontId="2" type="noConversion"/>
  </si>
  <si>
    <t>ratio</t>
    <phoneticPr fontId="2" type="noConversion"/>
  </si>
  <si>
    <t>空</t>
    <phoneticPr fontId="2" type="noConversion"/>
  </si>
  <si>
    <t>connections</t>
    <phoneticPr fontId="2" type="noConversion"/>
  </si>
  <si>
    <t>dfs check connection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</si>
  <si>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</si>
  <si>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</si>
  <si>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</si>
  <si>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</si>
  <si>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0~0.09</t>
    <phoneticPr fontId="2" type="noConversion"/>
  </si>
  <si>
    <t>0.09-0.2</t>
    <phoneticPr fontId="2" type="noConversion"/>
  </si>
  <si>
    <t>税率（0~20%）</t>
    <phoneticPr fontId="2" type="noConversion"/>
  </si>
  <si>
    <t xml:space="preserve"> </t>
    <phoneticPr fontId="2" type="noConversion"/>
  </si>
  <si>
    <t>goods</t>
    <phoneticPr fontId="2" type="noConversion"/>
  </si>
  <si>
    <t>维护开支（80~100%）</t>
    <phoneticPr fontId="2" type="noConversion"/>
  </si>
  <si>
    <t>land value</t>
    <phoneticPr fontId="2" type="noConversion"/>
  </si>
  <si>
    <t>人口增长倾向</t>
    <phoneticPr fontId="2" type="noConversion"/>
  </si>
  <si>
    <t>land value cal</t>
    <phoneticPr fontId="2" type="noConversion"/>
  </si>
  <si>
    <t>地价</t>
    <phoneticPr fontId="2" type="noConversion"/>
  </si>
  <si>
    <t>15x15</t>
    <phoneticPr fontId="2" type="noConversion"/>
  </si>
  <si>
    <t>divide and conquer</t>
    <phoneticPr fontId="2" type="noConversion"/>
  </si>
  <si>
    <t>3x3</t>
    <phoneticPr fontId="2" type="noConversion"/>
  </si>
  <si>
    <t>2x2</t>
    <phoneticPr fontId="2" type="noConversion"/>
  </si>
  <si>
    <t>Σland value</t>
    <phoneticPr fontId="2" type="noConversion"/>
  </si>
  <si>
    <t>sum</t>
    <phoneticPr fontId="2" type="noConversion"/>
  </si>
  <si>
    <t>add gameover condition</t>
    <phoneticPr fontId="2" type="noConversion"/>
  </si>
  <si>
    <t>cal land value</t>
    <phoneticPr fontId="2" type="noConversion"/>
  </si>
  <si>
    <t>fix tile layout</t>
    <phoneticPr fontId="2" type="noConversion"/>
  </si>
  <si>
    <t>immigrate pace</t>
    <phoneticPr fontId="2" type="noConversion"/>
  </si>
  <si>
    <t>backlog</t>
    <phoneticPr fontId="2" type="noConversion"/>
  </si>
  <si>
    <t>sprint</t>
    <phoneticPr fontId="2" type="noConversion"/>
  </si>
  <si>
    <t>dev log</t>
    <phoneticPr fontId="2" type="noConversion"/>
  </si>
  <si>
    <t>category</t>
    <phoneticPr fontId="2" type="noConversion"/>
  </si>
  <si>
    <t>subject</t>
    <phoneticPr fontId="2" type="noConversion"/>
  </si>
  <si>
    <t xml:space="preserve">top </t>
    <phoneticPr fontId="2" type="noConversion"/>
  </si>
  <si>
    <t>contents list</t>
    <phoneticPr fontId="2" type="noConversion"/>
  </si>
  <si>
    <t>happiness/ demand</t>
    <phoneticPr fontId="2" type="noConversion"/>
  </si>
  <si>
    <t>H/demand</t>
    <phoneticPr fontId="2" type="noConversion"/>
  </si>
  <si>
    <t>H/tile</t>
    <phoneticPr fontId="2" type="noConversion"/>
  </si>
  <si>
    <t>maintenance</t>
    <phoneticPr fontId="2" type="noConversion"/>
  </si>
  <si>
    <t>default maintenance/income ratio</t>
    <phoneticPr fontId="2" type="noConversion"/>
  </si>
  <si>
    <t>adjust</t>
    <phoneticPr fontId="2" type="noConversion"/>
  </si>
  <si>
    <t>250 is the max desirable pop for this simcity</t>
    <phoneticPr fontId="2" type="noConversion"/>
  </si>
  <si>
    <t>adjust immigration pace</t>
    <phoneticPr fontId="2" type="noConversion"/>
  </si>
  <si>
    <t>pace</t>
    <phoneticPr fontId="2" type="noConversion"/>
  </si>
  <si>
    <t>max pace</t>
    <phoneticPr fontId="2" type="noConversion"/>
  </si>
  <si>
    <t>time up show cash</t>
    <phoneticPr fontId="2" type="noConversion"/>
  </si>
  <si>
    <t>best score</t>
    <phoneticPr fontId="2" type="noConversion"/>
  </si>
  <si>
    <t>best score</t>
    <phoneticPr fontId="2" type="noConversion"/>
  </si>
  <si>
    <t>pop class</t>
    <phoneticPr fontId="2" type="noConversion"/>
  </si>
  <si>
    <t>poor</t>
    <phoneticPr fontId="2" type="noConversion"/>
  </si>
  <si>
    <t>mid</t>
    <phoneticPr fontId="2" type="noConversion"/>
  </si>
  <si>
    <t>elite</t>
    <phoneticPr fontId="2" type="noConversion"/>
  </si>
  <si>
    <t>y=1/24 x + 1</t>
    <phoneticPr fontId="2" type="noConversion"/>
  </si>
  <si>
    <t>total affordable people</t>
    <phoneticPr fontId="2" type="noConversion"/>
  </si>
  <si>
    <t>by 纳米</t>
    <phoneticPr fontId="2" type="noConversion"/>
  </si>
  <si>
    <t>造价</t>
    <phoneticPr fontId="2" type="noConversion"/>
  </si>
  <si>
    <t>a sprawling city</t>
    <phoneticPr fontId="2" type="noConversion"/>
  </si>
  <si>
    <t>gameover: descriptive mayor rating instead of money</t>
    <phoneticPr fontId="2" type="noConversion"/>
  </si>
  <si>
    <t>a sprawing city</t>
    <phoneticPr fontId="2" type="noConversion"/>
  </si>
  <si>
    <t>overtax will make company suffer -&gt; rating drops -&gt; dilemma : money for solving problems need high tax , but this will decrease the rating</t>
    <phoneticPr fontId="2" type="noConversion"/>
  </si>
  <si>
    <t>mayor rating</t>
    <phoneticPr fontId="2" type="noConversion"/>
  </si>
  <si>
    <t>游戏结束</t>
    <phoneticPr fontId="2" type="noConversion"/>
  </si>
  <si>
    <t>略带好感</t>
    <phoneticPr fontId="2" type="noConversion"/>
  </si>
  <si>
    <t>中规中矩</t>
    <phoneticPr fontId="2" type="noConversion"/>
  </si>
  <si>
    <t>感恩戴德</t>
    <phoneticPr fontId="2" type="noConversion"/>
  </si>
  <si>
    <t>有口皆碑</t>
    <phoneticPr fontId="2" type="noConversion"/>
  </si>
  <si>
    <t>颇有微词</t>
    <phoneticPr fontId="2" type="noConversion"/>
  </si>
  <si>
    <t>恨之入骨</t>
    <phoneticPr fontId="2" type="noConversion"/>
  </si>
  <si>
    <t>怨声载道</t>
    <phoneticPr fontId="2" type="noConversion"/>
  </si>
  <si>
    <t>揭竿而起</t>
    <phoneticPr fontId="2" type="noConversion"/>
  </si>
  <si>
    <t>high value land will attract population</t>
    <phoneticPr fontId="2" type="noConversion"/>
  </si>
  <si>
    <t>b2</t>
    <phoneticPr fontId="2" type="noConversion"/>
  </si>
  <si>
    <t>f6</t>
    <phoneticPr fontId="2" type="noConversion"/>
  </si>
  <si>
    <t>g2</t>
    <phoneticPr fontId="2" type="noConversion"/>
  </si>
  <si>
    <t>k6</t>
    <phoneticPr fontId="2" type="noConversion"/>
  </si>
  <si>
    <t>l2</t>
    <phoneticPr fontId="2" type="noConversion"/>
  </si>
  <si>
    <t>p6</t>
    <phoneticPr fontId="2" type="noConversion"/>
  </si>
  <si>
    <t>b7</t>
    <phoneticPr fontId="2" type="noConversion"/>
  </si>
  <si>
    <t>f11</t>
    <phoneticPr fontId="2" type="noConversion"/>
  </si>
  <si>
    <t>g7</t>
    <phoneticPr fontId="2" type="noConversion"/>
  </si>
  <si>
    <t>k11</t>
    <phoneticPr fontId="2" type="noConversion"/>
  </si>
  <si>
    <t>l7</t>
    <phoneticPr fontId="2" type="noConversion"/>
  </si>
  <si>
    <t>p11</t>
    <phoneticPr fontId="2" type="noConversion"/>
  </si>
  <si>
    <t>b12</t>
    <phoneticPr fontId="2" type="noConversion"/>
  </si>
  <si>
    <t>f16</t>
    <phoneticPr fontId="2" type="noConversion"/>
  </si>
  <si>
    <t>g12</t>
    <phoneticPr fontId="2" type="noConversion"/>
  </si>
  <si>
    <t>k16</t>
    <phoneticPr fontId="2" type="noConversion"/>
  </si>
  <si>
    <t>l12</t>
    <phoneticPr fontId="2" type="noConversion"/>
  </si>
  <si>
    <t>p16</t>
    <phoneticPr fontId="2" type="noConversion"/>
  </si>
  <si>
    <t>4月18</t>
    <phoneticPr fontId="2" type="noConversion"/>
  </si>
  <si>
    <t>fuck vba I'm going to Unity</t>
    <phoneticPr fontId="2" type="noConversion"/>
  </si>
  <si>
    <t>net incom</t>
    <phoneticPr fontId="2" type="noConversion"/>
  </si>
  <si>
    <t>！建造公众设施与商业区能吸引人口迁入</t>
    <phoneticPr fontId="2" type="noConversion"/>
  </si>
  <si>
    <t>！在左上角地图区，输入建筑类型，输入后点击清算建造花费</t>
    <phoneticPr fontId="2" type="noConversion"/>
  </si>
  <si>
    <t>！100天后游戏结束</t>
    <phoneticPr fontId="2" type="noConversion"/>
  </si>
  <si>
    <t>！现金少于0游戏结束</t>
    <phoneticPr fontId="2" type="noConversion"/>
  </si>
  <si>
    <t>！地价更高的区域能吸引更优秀的人才，提高城市收入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</si>
</sst>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33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  <font>
      <sz val="11"/>
      <color rgb="FF800000"/>
      <name val="等线"/>
      <charset val="134"/>
      <scheme val="minor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0">
    <xf numFmtId="0" fontId="0" fillId="0" borderId="0"/>
    <xf numFmtId="9" fontId="18" fillId="0" borderId="0" applyFont="0" applyFill="0" applyBorder="0" applyAlignment="0" applyProtection="0">
      <alignment vertical="center"/>
    </xf>
    <xf numFmtId="0" fontId="19" fillId="23" borderId="1" applyNumberForma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7" fillId="29" borderId="2" applyNumberForma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4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0" fillId="10" borderId="0" xfId="0" applyFill="1"/>
    <xf numFmtId="0" fontId="3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1" fillId="19" borderId="0" xfId="0" applyFont="1" applyFill="1"/>
    <xf numFmtId="9" fontId="12" fillId="0" borderId="0" xfId="0" applyNumberFormat="1" applyFont="1"/>
    <xf numFmtId="0" fontId="13" fillId="18" borderId="0" xfId="0" applyFont="1" applyFill="1"/>
    <xf numFmtId="0" fontId="14" fillId="18" borderId="0" xfId="0" applyFont="1" applyFill="1"/>
    <xf numFmtId="9" fontId="15" fillId="21" borderId="0" xfId="0" applyNumberFormat="1" applyFont="1" applyFill="1" applyAlignment="1"/>
    <xf numFmtId="0" fontId="0" fillId="22" borderId="0" xfId="0" applyFill="1"/>
    <xf numFmtId="9" fontId="16" fillId="21" borderId="0" xfId="0" applyNumberFormat="1" applyFont="1" applyFill="1" applyAlignment="1"/>
    <xf numFmtId="0" fontId="0" fillId="15" borderId="0" xfId="0" applyFill="1"/>
    <xf numFmtId="0" fontId="4" fillId="20" borderId="0" xfId="0" applyFont="1" applyFill="1"/>
    <xf numFmtId="0" fontId="0" fillId="3" borderId="0" xfId="0" applyFill="1" applyAlignment="1">
      <alignment horizontal="center" vertical="center"/>
    </xf>
    <xf numFmtId="0" fontId="5" fillId="25" borderId="0" xfId="0" applyFont="1" applyFill="1"/>
    <xf numFmtId="0" fontId="4" fillId="0" borderId="0" xfId="0" applyFont="1"/>
    <xf numFmtId="9" fontId="22" fillId="0" borderId="0" xfId="0" applyNumberFormat="1" applyFont="1"/>
    <xf numFmtId="9" fontId="23" fillId="24" borderId="0" xfId="3" applyNumberFormat="1" applyFont="1" applyAlignment="1">
      <alignment horizontal="center" vertical="center"/>
    </xf>
    <xf numFmtId="9" fontId="6" fillId="7" borderId="0" xfId="1" applyFont="1" applyFill="1" applyAlignment="1">
      <alignment horizontal="center" vertical="center"/>
    </xf>
    <xf numFmtId="0" fontId="19" fillId="23" borderId="1" xfId="2" applyAlignment="1"/>
    <xf numFmtId="0" fontId="0" fillId="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9" fillId="14" borderId="0" xfId="0" applyFont="1" applyFill="1" applyAlignment="1">
      <alignment horizontal="center"/>
    </xf>
    <xf numFmtId="0" fontId="24" fillId="28" borderId="0" xfId="0" applyFont="1" applyFill="1"/>
    <xf numFmtId="0" fontId="4" fillId="18" borderId="0" xfId="0" applyFont="1" applyFill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14" fontId="0" fillId="0" borderId="0" xfId="0" applyNumberFormat="1" applyAlignment="1">
      <alignment horizontal="left"/>
    </xf>
    <xf numFmtId="0" fontId="6" fillId="0" borderId="0" xfId="0" applyFont="1" applyAlignment="1">
      <alignment horizontal="center" vertical="center"/>
    </xf>
    <xf numFmtId="177" fontId="15" fillId="21" borderId="0" xfId="1" applyNumberFormat="1" applyFont="1" applyFill="1" applyAlignment="1"/>
    <xf numFmtId="0" fontId="29" fillId="0" borderId="0" xfId="0" applyFont="1"/>
    <xf numFmtId="0" fontId="29" fillId="17" borderId="0" xfId="0" applyFont="1" applyFill="1"/>
    <xf numFmtId="0" fontId="29" fillId="30" borderId="0" xfId="5" applyFont="1" applyAlignment="1"/>
    <xf numFmtId="0" fontId="27" fillId="29" borderId="2" xfId="4" applyAlignment="1"/>
    <xf numFmtId="176" fontId="0" fillId="4" borderId="0" xfId="1" applyNumberFormat="1" applyFont="1" applyFill="1" applyAlignment="1"/>
    <xf numFmtId="0" fontId="27" fillId="31" borderId="2" xfId="4" applyFill="1" applyAlignment="1"/>
    <xf numFmtId="0" fontId="27" fillId="32" borderId="2" xfId="4" applyFill="1" applyAlignment="1"/>
    <xf numFmtId="0" fontId="27" fillId="33" borderId="2" xfId="4" applyFill="1" applyAlignment="1"/>
    <xf numFmtId="0" fontId="0" fillId="0" borderId="0" xfId="0" quotePrefix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4" fillId="16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5" borderId="0" xfId="0" applyFill="1" applyAlignment="1">
      <alignment wrapText="1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9" fontId="25" fillId="19" borderId="0" xfId="1" applyFont="1" applyFill="1" applyAlignment="1">
      <alignment horizontal="center" vertical="center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 vertical="top"/>
    </xf>
    <xf numFmtId="0" fontId="9" fillId="14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4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0" fillId="14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</cellXfs>
  <cellStyles count="10">
    <cellStyle name="20% - 强调文字颜色 1" xfId="5" builtinId="30"/>
    <cellStyle name="60% - 强调文字颜色 6" xfId="3" builtinId="52"/>
    <cellStyle name="普通" xfId="0" builtinId="0"/>
    <cellStyle name="百分比" xfId="1" builtinId="5"/>
    <cellStyle name="访问过的超链接" xfId="7" builtinId="9" hidden="1"/>
    <cellStyle name="访问过的超链接" xfId="9" builtinId="9" hidden="1"/>
    <cellStyle name="超链接" xfId="6" builtinId="8" hidden="1"/>
    <cellStyle name="超链接" xfId="8" builtinId="8" hidden="1"/>
    <cellStyle name="输入" xfId="2" builtinId="20"/>
    <cellStyle name="输出" xfId="4" builtinId="21"/>
  </cellStyles>
  <dxfs count="32"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0.242424242424242</c:v>
                </c:pt>
                <c:pt idx="1">
                  <c:v>-0.9</c:v>
                </c:pt>
                <c:pt idx="2">
                  <c:v>1.212121212121212</c:v>
                </c:pt>
                <c:pt idx="3">
                  <c:v>-0.5</c:v>
                </c:pt>
                <c:pt idx="4">
                  <c:v>0.0666666666666667</c:v>
                </c:pt>
                <c:pt idx="5">
                  <c:v>0.15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185656"/>
        <c:axId val="2079190824"/>
      </c:barChart>
      <c:catAx>
        <c:axId val="207918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190824"/>
        <c:crosses val="autoZero"/>
        <c:auto val="1"/>
        <c:lblAlgn val="ctr"/>
        <c:lblOffset val="100"/>
        <c:noMultiLvlLbl val="0"/>
      </c:catAx>
      <c:valAx>
        <c:axId val="2079190824"/>
        <c:scaling>
          <c:orientation val="minMax"/>
          <c:max val="7.0"/>
          <c:min val="-7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18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0.29</c:v>
                </c:pt>
                <c:pt idx="3">
                  <c:v>0.0</c:v>
                </c:pt>
                <c:pt idx="4">
                  <c:v>0.0</c:v>
                </c:pt>
                <c:pt idx="5">
                  <c:v>-0.00666666666666667</c:v>
                </c:pt>
                <c:pt idx="6">
                  <c:v>-0.015</c:v>
                </c:pt>
                <c:pt idx="7">
                  <c:v>0.0</c:v>
                </c:pt>
                <c:pt idx="8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661992"/>
        <c:axId val="2079665736"/>
      </c:barChart>
      <c:catAx>
        <c:axId val="2079661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665736"/>
        <c:crosses val="autoZero"/>
        <c:auto val="1"/>
        <c:lblAlgn val="ctr"/>
        <c:lblOffset val="100"/>
        <c:noMultiLvlLbl val="0"/>
      </c:catAx>
      <c:valAx>
        <c:axId val="207966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966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2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69755</xdr:colOff>
      <xdr:row>3</xdr:row>
      <xdr:rowOff>47064</xdr:rowOff>
    </xdr:from>
    <xdr:to>
      <xdr:col>25</xdr:col>
      <xdr:colOff>185176</xdr:colOff>
      <xdr:row>12</xdr:row>
      <xdr:rowOff>140634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635000</xdr:colOff>
          <xdr:row>25</xdr:row>
          <xdr:rowOff>279400</xdr:rowOff>
        </xdr:from>
        <xdr:to>
          <xdr:col>26</xdr:col>
          <xdr:colOff>292100</xdr:colOff>
          <xdr:row>28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26</xdr:row>
          <xdr:rowOff>0</xdr:rowOff>
        </xdr:from>
        <xdr:to>
          <xdr:col>24</xdr:col>
          <xdr:colOff>254000</xdr:colOff>
          <xdr:row>28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279400</xdr:rowOff>
        </xdr:from>
        <xdr:to>
          <xdr:col>31</xdr:col>
          <xdr:colOff>584200</xdr:colOff>
          <xdr:row>28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  <a:cs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235323</xdr:colOff>
      <xdr:row>3</xdr:row>
      <xdr:rowOff>33618</xdr:rowOff>
    </xdr:from>
    <xdr:to>
      <xdr:col>33</xdr:col>
      <xdr:colOff>235323</xdr:colOff>
      <xdr:row>12</xdr:row>
      <xdr:rowOff>154642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127000</xdr:rowOff>
        </xdr:from>
        <xdr:to>
          <xdr:col>9</xdr:col>
          <xdr:colOff>444500</xdr:colOff>
          <xdr:row>13</xdr:row>
          <xdr:rowOff>101600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AK84"/>
  <sheetViews>
    <sheetView tabSelected="1" topLeftCell="A8" zoomScale="85" zoomScaleNormal="85" zoomScalePageLayoutView="85" workbookViewId="0">
      <selection activeCell="M14" sqref="M14"/>
    </sheetView>
  </sheetViews>
  <sheetFormatPr baseColWidth="10" defaultColWidth="8.85546875" defaultRowHeight="15" customHeight="1" x14ac:dyDescent="0"/>
  <cols>
    <col min="1" max="1" width="4.140625" style="4" customWidth="1"/>
    <col min="2" max="16" width="4.140625" style="2" customWidth="1"/>
    <col min="17" max="17" width="6.28515625" style="1" customWidth="1"/>
    <col min="18" max="18" width="4.42578125" customWidth="1"/>
    <col min="19" max="19" width="4.42578125" style="2" customWidth="1"/>
    <col min="20" max="34" width="8" customWidth="1"/>
  </cols>
  <sheetData>
    <row r="1" spans="1:37" ht="23.25" customHeight="1">
      <c r="A1" s="13" t="s">
        <v>131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AJ1" s="81" t="s">
        <v>124</v>
      </c>
      <c r="AK1" s="81"/>
    </row>
    <row r="2" spans="1:37" ht="23.25" customHeight="1">
      <c r="A2" s="13"/>
      <c r="B2" s="62"/>
      <c r="C2" s="62"/>
      <c r="D2" s="62"/>
      <c r="E2" s="62"/>
      <c r="F2" s="62"/>
      <c r="G2" s="62"/>
      <c r="H2" s="62"/>
      <c r="I2" s="62">
        <v>0</v>
      </c>
      <c r="J2" s="62"/>
      <c r="K2" s="62"/>
      <c r="L2" s="62"/>
      <c r="M2" s="62"/>
      <c r="N2" s="62"/>
      <c r="O2" s="62"/>
      <c r="P2" s="62"/>
      <c r="AA2" s="63" t="s">
        <v>169</v>
      </c>
      <c r="AJ2" s="82">
        <v>800</v>
      </c>
      <c r="AK2" s="82"/>
    </row>
    <row r="3" spans="1:37" ht="23.25" customHeight="1">
      <c r="B3" s="62"/>
      <c r="C3" s="62"/>
      <c r="D3" s="62"/>
      <c r="E3" s="62"/>
      <c r="F3" s="62"/>
      <c r="G3" s="62"/>
      <c r="H3" s="62"/>
      <c r="I3" s="62">
        <v>0</v>
      </c>
      <c r="J3" s="62"/>
      <c r="K3" s="62"/>
      <c r="L3" s="62"/>
      <c r="M3" s="62"/>
      <c r="N3" s="62"/>
      <c r="O3" s="62"/>
      <c r="P3" s="62"/>
      <c r="AA3" s="83" t="s">
        <v>92</v>
      </c>
      <c r="AB3" s="84"/>
      <c r="AC3" s="86">
        <f>ROUND('raw data'!L24,0)/N19</f>
        <v>0</v>
      </c>
      <c r="AD3" s="86"/>
    </row>
    <row r="4" spans="1:37" ht="23.25" customHeight="1">
      <c r="B4" s="62"/>
      <c r="C4" s="62"/>
      <c r="D4" s="62"/>
      <c r="E4" s="62"/>
      <c r="F4" s="62"/>
      <c r="G4" s="62"/>
      <c r="H4" s="62"/>
      <c r="I4" s="62">
        <v>0</v>
      </c>
      <c r="J4" s="62"/>
      <c r="K4" s="62"/>
      <c r="L4" s="62"/>
      <c r="M4" s="62"/>
      <c r="N4" s="62"/>
      <c r="O4" s="62"/>
      <c r="P4" s="62"/>
    </row>
    <row r="5" spans="1:37" ht="23.25" customHeight="1">
      <c r="B5" s="62"/>
      <c r="C5" s="62"/>
      <c r="D5" s="62"/>
      <c r="E5" s="62"/>
      <c r="F5" s="62"/>
      <c r="G5" s="62"/>
      <c r="H5" s="62"/>
      <c r="I5" s="62">
        <v>0</v>
      </c>
      <c r="J5" s="62"/>
      <c r="K5" s="62"/>
      <c r="L5" s="62"/>
      <c r="M5" s="62"/>
      <c r="N5" s="62"/>
      <c r="O5" s="62"/>
      <c r="P5" s="62"/>
    </row>
    <row r="6" spans="1:37" ht="23.25" customHeight="1">
      <c r="B6" s="62"/>
      <c r="C6" s="62"/>
      <c r="D6" s="62"/>
      <c r="E6" s="62"/>
      <c r="F6" s="62"/>
      <c r="G6" s="62"/>
      <c r="H6" s="62"/>
      <c r="I6" s="62">
        <v>0</v>
      </c>
      <c r="J6" s="62"/>
      <c r="K6" s="62"/>
      <c r="L6" s="62"/>
      <c r="M6" s="62"/>
      <c r="N6" s="62"/>
      <c r="O6" s="62"/>
      <c r="P6" s="62"/>
    </row>
    <row r="7" spans="1:37" ht="23.25" customHeight="1">
      <c r="B7" s="62"/>
      <c r="C7" s="62"/>
      <c r="D7" s="62"/>
      <c r="E7" s="62"/>
      <c r="F7" s="62"/>
      <c r="G7" s="62"/>
      <c r="H7" s="62"/>
      <c r="I7" s="62">
        <v>0</v>
      </c>
      <c r="J7" s="62"/>
      <c r="K7" s="62"/>
      <c r="L7" s="62"/>
      <c r="M7" s="62"/>
      <c r="N7" s="62"/>
      <c r="O7" s="62"/>
      <c r="P7" s="62"/>
    </row>
    <row r="8" spans="1:37" ht="23.25" customHeight="1">
      <c r="B8" s="62"/>
      <c r="C8" s="62"/>
      <c r="D8" s="62"/>
      <c r="E8" s="62"/>
      <c r="F8" s="62"/>
      <c r="G8" s="62"/>
      <c r="H8" s="62"/>
      <c r="I8" s="62">
        <v>0</v>
      </c>
      <c r="J8" s="62"/>
      <c r="K8" s="62"/>
      <c r="L8" s="62"/>
      <c r="M8" s="62"/>
      <c r="N8" s="62"/>
      <c r="O8" s="62"/>
      <c r="P8" s="62"/>
    </row>
    <row r="9" spans="1:37" ht="23.25" customHeight="1">
      <c r="B9" s="62"/>
      <c r="C9" s="62"/>
      <c r="D9" s="62"/>
      <c r="E9" s="62"/>
      <c r="F9" s="62"/>
      <c r="G9" s="62"/>
      <c r="H9" s="62"/>
      <c r="I9" s="62">
        <v>0</v>
      </c>
      <c r="J9" s="62">
        <v>1</v>
      </c>
      <c r="K9" s="62"/>
      <c r="L9" s="62"/>
      <c r="M9" s="62"/>
      <c r="N9" s="62"/>
      <c r="O9" s="62"/>
      <c r="P9" s="62"/>
    </row>
    <row r="10" spans="1:37" ht="23.25" customHeight="1">
      <c r="B10" s="62"/>
      <c r="C10" s="62"/>
      <c r="D10" s="62"/>
      <c r="E10" s="62"/>
      <c r="F10" s="62"/>
      <c r="G10" s="62"/>
      <c r="H10" s="62"/>
      <c r="I10" s="62">
        <v>0</v>
      </c>
      <c r="J10" s="62"/>
      <c r="K10" s="62"/>
      <c r="L10" s="62"/>
      <c r="M10" s="62"/>
      <c r="N10" s="62"/>
      <c r="O10" s="62"/>
      <c r="P10" s="62"/>
    </row>
    <row r="11" spans="1:37" ht="23.25" customHeight="1">
      <c r="B11" s="62"/>
      <c r="C11" s="62"/>
      <c r="D11" s="62"/>
      <c r="E11" s="62"/>
      <c r="F11" s="62"/>
      <c r="G11" s="62"/>
      <c r="H11" s="62"/>
      <c r="I11" s="62">
        <v>0</v>
      </c>
      <c r="J11" s="62"/>
      <c r="K11" s="62"/>
      <c r="L11" s="62"/>
      <c r="M11" s="62"/>
      <c r="N11" s="62"/>
      <c r="O11" s="62"/>
      <c r="P11" s="62"/>
    </row>
    <row r="12" spans="1:37" ht="23.25" customHeight="1">
      <c r="B12" s="62"/>
      <c r="C12" s="62"/>
      <c r="D12" s="62"/>
      <c r="E12" s="62"/>
      <c r="F12" s="62"/>
      <c r="G12" s="62"/>
      <c r="H12" s="62"/>
      <c r="I12" s="62">
        <v>0</v>
      </c>
      <c r="J12" s="62">
        <v>2</v>
      </c>
      <c r="K12" s="62"/>
      <c r="L12" s="62"/>
      <c r="M12" s="62"/>
      <c r="N12" s="62"/>
      <c r="O12" s="62"/>
      <c r="P12" s="62"/>
    </row>
    <row r="13" spans="1:37" ht="23.25" customHeight="1">
      <c r="B13" s="62"/>
      <c r="C13" s="62"/>
      <c r="D13" s="62"/>
      <c r="E13" s="62"/>
      <c r="F13" s="62"/>
      <c r="G13" s="62"/>
      <c r="H13" s="62"/>
      <c r="I13" s="62">
        <v>0</v>
      </c>
      <c r="J13" s="62"/>
      <c r="K13" s="62"/>
      <c r="L13" s="62"/>
      <c r="M13" s="62"/>
      <c r="N13" s="62"/>
      <c r="O13" s="62"/>
      <c r="P13" s="62"/>
    </row>
    <row r="14" spans="1:37" ht="23.25" customHeight="1">
      <c r="B14" s="62"/>
      <c r="C14" s="62"/>
      <c r="D14" s="62"/>
      <c r="E14" s="62"/>
      <c r="F14" s="62"/>
      <c r="G14" s="62"/>
      <c r="H14" s="62"/>
      <c r="I14" s="62">
        <v>0</v>
      </c>
      <c r="J14" s="62"/>
      <c r="K14" s="62"/>
      <c r="L14" s="62"/>
      <c r="M14" s="62"/>
      <c r="N14" s="62"/>
      <c r="O14" s="62"/>
      <c r="P14" s="62"/>
    </row>
    <row r="15" spans="1:37" ht="23.25" customHeight="1">
      <c r="B15" s="62"/>
      <c r="C15" s="62"/>
      <c r="D15" s="62"/>
      <c r="E15" s="62"/>
      <c r="F15" s="62"/>
      <c r="G15" s="62"/>
      <c r="H15" s="62"/>
      <c r="I15" s="62">
        <v>0</v>
      </c>
      <c r="J15" s="62"/>
      <c r="K15" s="62"/>
      <c r="L15" s="62"/>
      <c r="M15" s="62"/>
      <c r="N15" s="62"/>
      <c r="O15" s="62"/>
      <c r="P15" s="62"/>
    </row>
    <row r="16" spans="1:37" ht="23.25" customHeight="1">
      <c r="B16" s="62"/>
      <c r="C16" s="62"/>
      <c r="D16" s="62"/>
      <c r="E16" s="62"/>
      <c r="F16" s="62"/>
      <c r="G16" s="62"/>
      <c r="H16" s="62"/>
      <c r="I16" s="62">
        <v>0</v>
      </c>
      <c r="J16" s="62"/>
      <c r="K16" s="62"/>
      <c r="L16" s="62"/>
      <c r="M16" s="62"/>
      <c r="N16" s="62"/>
      <c r="O16" s="62"/>
      <c r="P16" s="62"/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31" t="s">
        <v>45</v>
      </c>
      <c r="K18" s="32"/>
      <c r="L18" s="32"/>
      <c r="N18" s="25" t="s">
        <v>33</v>
      </c>
      <c r="O18" s="25"/>
      <c r="P18" s="26" t="s">
        <v>34</v>
      </c>
      <c r="R18" s="27"/>
      <c r="S18" s="24" t="s">
        <v>28</v>
      </c>
      <c r="U18" s="102" t="s">
        <v>170</v>
      </c>
    </row>
    <row r="19" spans="1:34" ht="23.25" customHeight="1">
      <c r="A19" s="89">
        <f>'raw data'!B38</f>
        <v>-4.5</v>
      </c>
      <c r="B19" s="89"/>
      <c r="C19" s="89"/>
      <c r="D19">
        <f>'raw data'!D38</f>
        <v>4.5</v>
      </c>
      <c r="G19" s="90">
        <f>'raw data'!G38</f>
        <v>0</v>
      </c>
      <c r="H19" s="90"/>
      <c r="J19" s="87">
        <f>'raw data'!K38</f>
        <v>1</v>
      </c>
      <c r="K19" s="87"/>
      <c r="L19" s="34"/>
      <c r="N19" s="29">
        <f>'raw data'!N38</f>
        <v>1</v>
      </c>
      <c r="O19" s="29"/>
      <c r="P19" s="15">
        <f>'raw data'!Q38</f>
        <v>2</v>
      </c>
      <c r="Q19" s="24"/>
      <c r="T19" t="s">
        <v>78</v>
      </c>
      <c r="U19" t="s">
        <v>132</v>
      </c>
    </row>
    <row r="20" spans="1:34" ht="23.25" customHeight="1">
      <c r="A20"/>
      <c r="Q20" s="24"/>
      <c r="S20" s="2">
        <v>0</v>
      </c>
      <c r="T20" t="s">
        <v>37</v>
      </c>
      <c r="U20">
        <f>'raw data'!N3</f>
        <v>2</v>
      </c>
      <c r="W20" s="85" t="s">
        <v>87</v>
      </c>
      <c r="X20" s="85"/>
      <c r="Y20" s="85"/>
      <c r="Z20" s="85"/>
      <c r="AC20" s="85" t="s">
        <v>90</v>
      </c>
      <c r="AD20" s="85"/>
      <c r="AE20" s="85"/>
      <c r="AF20" s="85"/>
      <c r="AG20" s="85"/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92" t="s">
        <v>36</v>
      </c>
      <c r="K21" s="92"/>
      <c r="L21" s="92"/>
      <c r="M21" s="24"/>
      <c r="N21" s="24"/>
      <c r="O21" s="24"/>
      <c r="P21" s="24"/>
      <c r="Q21" s="24"/>
      <c r="S21" s="55">
        <v>1</v>
      </c>
      <c r="T21" t="s">
        <v>38</v>
      </c>
      <c r="U21">
        <f>'raw data'!N4</f>
        <v>4</v>
      </c>
      <c r="W21" s="55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2"/>
      <c r="AH21" s="2"/>
    </row>
    <row r="22" spans="1:34" ht="23.25" customHeight="1">
      <c r="A22"/>
      <c r="B22" s="88">
        <f>'raw data'!B41</f>
        <v>1</v>
      </c>
      <c r="C22" s="88"/>
      <c r="D22" s="88"/>
      <c r="E22" s="88"/>
      <c r="G22" s="21"/>
      <c r="H22" s="21"/>
      <c r="J22" s="91">
        <f>'raw data'!D41</f>
        <v>100</v>
      </c>
      <c r="K22" s="91"/>
      <c r="L22" s="91"/>
      <c r="Q22" s="24"/>
      <c r="S22" s="9">
        <v>2</v>
      </c>
      <c r="T22" t="s">
        <v>39</v>
      </c>
      <c r="U22">
        <f>'raw data'!N5</f>
        <v>7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2"/>
      <c r="AH22" s="2"/>
    </row>
    <row r="23" spans="1:34" ht="23.25" customHeight="1">
      <c r="A23"/>
      <c r="B23" s="63" t="s">
        <v>171</v>
      </c>
      <c r="J23" s="63" t="s">
        <v>172</v>
      </c>
      <c r="Q23" s="24"/>
      <c r="S23" s="11">
        <v>3</v>
      </c>
      <c r="T23" t="s">
        <v>40</v>
      </c>
      <c r="U23">
        <f>'raw data'!N6</f>
        <v>15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59" t="s">
        <v>94</v>
      </c>
      <c r="B24" s="59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41</v>
      </c>
      <c r="U24">
        <f>'raw data'!N7</f>
        <v>1</v>
      </c>
      <c r="W24" s="8">
        <v>4</v>
      </c>
      <c r="X24" t="s">
        <v>41</v>
      </c>
      <c r="Y24" s="2"/>
      <c r="Z24" s="52">
        <v>0.09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G25" s="103" t="s">
        <v>173</v>
      </c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7">
        <v>5</v>
      </c>
      <c r="T25" t="s">
        <v>42</v>
      </c>
      <c r="U25">
        <f>'raw data'!N8</f>
        <v>5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0.155</v>
      </c>
      <c r="C26" s="2">
        <f>'raw data'!G54</f>
        <v>0.1575</v>
      </c>
      <c r="D26" s="2">
        <f>'raw data'!G55</f>
        <v>0.155</v>
      </c>
      <c r="E26" s="54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2">
        <v>6</v>
      </c>
      <c r="T26" t="s">
        <v>43</v>
      </c>
      <c r="U26">
        <f>'raw data'!N9</f>
        <v>25</v>
      </c>
      <c r="W26" s="2"/>
      <c r="AD26" s="2"/>
      <c r="AE26" s="2"/>
      <c r="AF26" s="2"/>
      <c r="AG26" s="2"/>
      <c r="AH26" s="2"/>
    </row>
    <row r="27" spans="1:34" ht="15" customHeight="1">
      <c r="A27" s="54"/>
      <c r="B27" s="2">
        <f>'raw data'!G56</f>
        <v>0.22999999999999998</v>
      </c>
      <c r="C27" s="2">
        <f>'raw data'!G57</f>
        <v>0.38249999999999995</v>
      </c>
      <c r="D27" s="2">
        <f>'raw data'!G58</f>
        <v>0.22999999999999998</v>
      </c>
      <c r="E27" s="54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2">
        <v>7</v>
      </c>
      <c r="U27">
        <f>'raw data'!N10</f>
        <v>0</v>
      </c>
      <c r="W27" s="2"/>
      <c r="AB27" t="s">
        <v>88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0.30499999999999999</v>
      </c>
      <c r="C28" s="2">
        <f>'raw data'!G60</f>
        <v>0.45750000000000002</v>
      </c>
      <c r="D28" s="2">
        <f>'raw data'!G61</f>
        <v>0.30499999999999999</v>
      </c>
      <c r="E28" s="54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2">
        <v>8</v>
      </c>
      <c r="U28">
        <f>'raw data'!N11</f>
        <v>0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</row>
    <row r="31" spans="1:34" ht="20.25" customHeight="1">
      <c r="A31" s="2"/>
      <c r="Q31" s="24"/>
    </row>
    <row r="32" spans="1:34" ht="20.25" customHeight="1">
      <c r="A32" s="2"/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2">
    <mergeCell ref="J19:K19"/>
    <mergeCell ref="B22:E22"/>
    <mergeCell ref="A19:C19"/>
    <mergeCell ref="G19:H19"/>
    <mergeCell ref="J22:L22"/>
    <mergeCell ref="J21:L21"/>
    <mergeCell ref="AJ1:AK1"/>
    <mergeCell ref="AJ2:AK2"/>
    <mergeCell ref="AA3:AB3"/>
    <mergeCell ref="AC20:AG20"/>
    <mergeCell ref="W20:Z20"/>
    <mergeCell ref="AC3:AD3"/>
  </mergeCells>
  <phoneticPr fontId="2" type="noConversion"/>
  <conditionalFormatting sqref="AC3:AD3">
    <cfRule type="colorScale" priority="55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41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K11:P11 B16:I16 I13:P14 K15:P16 I15 I11 B10:E15 I10:P10 O9:O15 B2:P9 I12:J12 L12:P12">
    <cfRule type="cellIs" dxfId="31" priority="27" operator="equal">
      <formula>6</formula>
    </cfRule>
    <cfRule type="cellIs" dxfId="30" priority="28" operator="equal">
      <formula>5</formula>
    </cfRule>
    <cfRule type="cellIs" dxfId="29" priority="29" operator="equal">
      <formula>4</formula>
    </cfRule>
    <cfRule type="cellIs" dxfId="28" priority="30" operator="equal">
      <formula>3</formula>
    </cfRule>
    <cfRule type="cellIs" dxfId="27" priority="31" operator="equal">
      <formula>2</formula>
    </cfRule>
    <cfRule type="cellIs" dxfId="26" priority="32" operator="equal">
      <formula>1</formula>
    </cfRule>
  </conditionalFormatting>
  <conditionalFormatting sqref="J11">
    <cfRule type="cellIs" dxfId="25" priority="21" operator="equal">
      <formula>6</formula>
    </cfRule>
    <cfRule type="cellIs" dxfId="24" priority="22" operator="equal">
      <formula>5</formula>
    </cfRule>
    <cfRule type="cellIs" dxfId="23" priority="23" operator="equal">
      <formula>4</formula>
    </cfRule>
    <cfRule type="cellIs" dxfId="22" priority="24" operator="equal">
      <formula>3</formula>
    </cfRule>
    <cfRule type="cellIs" dxfId="21" priority="25" operator="equal">
      <formula>2</formula>
    </cfRule>
    <cfRule type="cellIs" dxfId="20" priority="26" operator="equal">
      <formula>1</formula>
    </cfRule>
  </conditionalFormatting>
  <conditionalFormatting sqref="J15:J16">
    <cfRule type="cellIs" dxfId="19" priority="15" operator="equal">
      <formula>6</formula>
    </cfRule>
    <cfRule type="cellIs" dxfId="18" priority="16" operator="equal">
      <formula>5</formula>
    </cfRule>
    <cfRule type="cellIs" dxfId="17" priority="17" operator="equal">
      <formula>4</formula>
    </cfRule>
    <cfRule type="cellIs" dxfId="16" priority="18" operator="equal">
      <formula>3</formula>
    </cfRule>
    <cfRule type="cellIs" dxfId="15" priority="19" operator="equal">
      <formula>2</formula>
    </cfRule>
    <cfRule type="cellIs" dxfId="14" priority="20" operator="equal">
      <formula>1</formula>
    </cfRule>
  </conditionalFormatting>
  <conditionalFormatting sqref="F10:H15">
    <cfRule type="cellIs" dxfId="13" priority="9" operator="equal">
      <formula>6</formula>
    </cfRule>
    <cfRule type="cellIs" dxfId="12" priority="10" operator="equal">
      <formula>5</formula>
    </cfRule>
    <cfRule type="cellIs" dxfId="11" priority="11" operator="equal">
      <formula>4</formula>
    </cfRule>
    <cfRule type="cellIs" dxfId="10" priority="12" operator="equal">
      <formula>3</formula>
    </cfRule>
    <cfRule type="cellIs" dxfId="9" priority="13" operator="equal">
      <formula>2</formula>
    </cfRule>
    <cfRule type="cellIs" dxfId="8" priority="14" operator="equal">
      <formula>1</formula>
    </cfRule>
  </conditionalFormatting>
  <conditionalFormatting sqref="B2:P11 B13:P17 B12:J12 L12:P12">
    <cfRule type="cellIs" dxfId="7" priority="8" operator="equal">
      <formula>9</formula>
    </cfRule>
  </conditionalFormatting>
  <conditionalFormatting sqref="K12">
    <cfRule type="cellIs" dxfId="6" priority="2" operator="equal">
      <formula>6</formula>
    </cfRule>
    <cfRule type="cellIs" dxfId="5" priority="3" operator="equal">
      <formula>5</formula>
    </cfRule>
    <cfRule type="cellIs" dxfId="4" priority="4" operator="equal">
      <formula>4</formula>
    </cfRule>
    <cfRule type="cellIs" dxfId="3" priority="5" operator="equal">
      <formula>3</formula>
    </cfRule>
    <cfRule type="cellIs" dxfId="2" priority="6" operator="equal">
      <formula>2</formula>
    </cfRule>
    <cfRule type="cellIs" dxfId="1" priority="7" operator="equal">
      <formula>1</formula>
    </cfRule>
  </conditionalFormatting>
  <conditionalFormatting sqref="K12">
    <cfRule type="cellIs" dxfId="0" priority="1" operator="equal">
      <formula>9</formula>
    </cfRule>
  </conditionalFormatting>
  <dataValidations disablePrompts="1"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635000</xdr:colOff>
                    <xdr:row>25</xdr:row>
                    <xdr:rowOff>279400</xdr:rowOff>
                  </from>
                  <to>
                    <xdr:col>26</xdr:col>
                    <xdr:colOff>292100</xdr:colOff>
                    <xdr:row>28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330200</xdr:colOff>
                    <xdr:row>26</xdr:row>
                    <xdr:rowOff>0</xdr:rowOff>
                  </from>
                  <to>
                    <xdr:col>24</xdr:col>
                    <xdr:colOff>254000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279400</xdr:rowOff>
                  </from>
                  <to>
                    <xdr:col>31</xdr:col>
                    <xdr:colOff>584200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O68"/>
  <sheetViews>
    <sheetView workbookViewId="0">
      <selection activeCell="N20" sqref="N20"/>
    </sheetView>
  </sheetViews>
  <sheetFormatPr baseColWidth="10" defaultColWidth="8.85546875" defaultRowHeight="12" x14ac:dyDescent="0"/>
  <cols>
    <col min="9" max="9" width="15.7109375" customWidth="1"/>
    <col min="11" max="11" width="11.4257812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96" t="s">
        <v>0</v>
      </c>
      <c r="C2" s="96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R2" t="s">
        <v>125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2</v>
      </c>
      <c r="R3" s="72" t="s">
        <v>126</v>
      </c>
      <c r="T3" s="75" t="s">
        <v>129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4</v>
      </c>
      <c r="R4" s="74" t="s">
        <v>127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1</v>
      </c>
      <c r="E5">
        <f>balance!M4</f>
        <v>0</v>
      </c>
      <c r="F5">
        <f>balance!J25</f>
        <v>2</v>
      </c>
      <c r="G5">
        <f t="shared" si="0"/>
        <v>2</v>
      </c>
      <c r="H5">
        <f>balance!O4</f>
        <v>40</v>
      </c>
      <c r="J5">
        <f>main!Z22</f>
        <v>0.12</v>
      </c>
      <c r="K5">
        <f t="shared" ref="K5:K11" si="2">(1-MAX(0,($K$38/$Q$38)))*MIN(1,(1-($H$20/($H$20+$D$9))))*D5*H5*J5</f>
        <v>0</v>
      </c>
      <c r="N5">
        <f>balance!L4</f>
        <v>7</v>
      </c>
      <c r="O5">
        <f>balance!P4</f>
        <v>-5</v>
      </c>
      <c r="R5" s="73" t="s">
        <v>128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3.2600000000300007</v>
      </c>
      <c r="G6">
        <f t="shared" si="0"/>
        <v>0</v>
      </c>
      <c r="H6">
        <f>balance!O5</f>
        <v>82</v>
      </c>
      <c r="J6">
        <f>main!Z23</f>
        <v>0.12</v>
      </c>
      <c r="K6">
        <f t="shared" si="2"/>
        <v>0</v>
      </c>
      <c r="N6">
        <f>balance!L5</f>
        <v>15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0.2</v>
      </c>
      <c r="G7">
        <f t="shared" si="0"/>
        <v>0</v>
      </c>
      <c r="H7">
        <f>balance!O6</f>
        <v>15</v>
      </c>
      <c r="J7">
        <f>main!Z24</f>
        <v>0.09</v>
      </c>
      <c r="K7">
        <f t="shared" si="2"/>
        <v>0</v>
      </c>
      <c r="N7">
        <f>balance!L6</f>
        <v>1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>
        <f>balance!M7</f>
        <v>4</v>
      </c>
      <c r="F8">
        <f>balance!J28</f>
        <v>0.1</v>
      </c>
      <c r="G8">
        <f t="shared" si="0"/>
        <v>0</v>
      </c>
      <c r="H8">
        <f>balance!O7</f>
        <v>0</v>
      </c>
      <c r="K8">
        <f t="shared" si="2"/>
        <v>0</v>
      </c>
      <c r="N8">
        <f>balance!L7</f>
        <v>5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2"/>
        <v>0</v>
      </c>
      <c r="N9">
        <f>balance!L8</f>
        <v>25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>
      <c r="B10" s="2">
        <v>7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2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2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112</v>
      </c>
      <c r="L13" t="s">
        <v>27</v>
      </c>
      <c r="N13" s="67" t="s">
        <v>52</v>
      </c>
      <c r="O13" s="67"/>
      <c r="P13" s="67"/>
      <c r="Q13" s="67"/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97" t="s">
        <v>13</v>
      </c>
      <c r="I14" s="97"/>
      <c r="J14">
        <f>balance!K23</f>
        <v>0</v>
      </c>
      <c r="K14">
        <f>balance!L23</f>
        <v>0</v>
      </c>
      <c r="L14" s="70">
        <f>D3*J14</f>
        <v>0</v>
      </c>
      <c r="N14" s="67"/>
      <c r="O14" s="67"/>
      <c r="P14" s="67"/>
      <c r="Q14" s="68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38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</f>
        <v>0.33333333333333331</v>
      </c>
      <c r="I15" s="19">
        <f>IF(H15&gt;0,IF(J4&lt;=0.09,$U$17*J4+$V$17,J4*$U$19+$V$19),1)*H15</f>
        <v>0.24242424242424243</v>
      </c>
      <c r="J15">
        <f>balance!K24</f>
        <v>0</v>
      </c>
      <c r="K15">
        <f>balance!L24</f>
        <v>0</v>
      </c>
      <c r="L15" s="70">
        <f>D4*J15+K15*I15</f>
        <v>0</v>
      </c>
      <c r="N15" s="69" t="s">
        <v>49</v>
      </c>
      <c r="O15" s="67"/>
      <c r="P15" s="67"/>
      <c r="Q15" s="67" t="s">
        <v>56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39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F16*N38-D5</f>
        <v>-0.9</v>
      </c>
      <c r="I16" s="19">
        <f t="shared" ref="I16:I18" si="3">IF(H16&gt;0,IF(J5&lt;=0.09,$U$17*J5+$V$17,J5*$U$19+$V$19),1)*H16</f>
        <v>-0.9</v>
      </c>
      <c r="J16">
        <f>balance!K25</f>
        <v>0.2</v>
      </c>
      <c r="K16">
        <f>balance!L25</f>
        <v>-0.1</v>
      </c>
      <c r="L16" s="70">
        <f t="shared" ref="L16:L22" si="4">D5*J16+K16*I16</f>
        <v>0.29000000000000004</v>
      </c>
      <c r="N16" s="69" t="s">
        <v>48</v>
      </c>
      <c r="O16" s="67"/>
      <c r="P16" s="67"/>
      <c r="Q16" s="67" t="s">
        <v>54</v>
      </c>
      <c r="T16" t="s">
        <v>85</v>
      </c>
      <c r="U16" t="s">
        <v>83</v>
      </c>
      <c r="V16" t="s">
        <v>84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40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1.6666666666666667</v>
      </c>
      <c r="I17" s="19">
        <f t="shared" si="3"/>
        <v>1.2121212121212122</v>
      </c>
      <c r="J17">
        <f>balance!K26</f>
        <v>-0.48</v>
      </c>
      <c r="K17">
        <f>balance!L26</f>
        <v>0</v>
      </c>
      <c r="L17" s="70">
        <f t="shared" si="4"/>
        <v>0</v>
      </c>
      <c r="N17" s="69" t="s">
        <v>51</v>
      </c>
      <c r="O17" s="67"/>
      <c r="P17" s="67"/>
      <c r="Q17" s="67" t="s">
        <v>55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41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-0.5</v>
      </c>
      <c r="I18" s="19">
        <f t="shared" si="3"/>
        <v>-0.5</v>
      </c>
      <c r="J18">
        <f>balance!K27</f>
        <v>0</v>
      </c>
      <c r="K18">
        <f>balance!L27</f>
        <v>0</v>
      </c>
      <c r="L18" s="70">
        <f t="shared" si="4"/>
        <v>0</v>
      </c>
      <c r="T18" t="s">
        <v>86</v>
      </c>
      <c r="U18" t="s">
        <v>81</v>
      </c>
      <c r="V18" t="s">
        <v>82</v>
      </c>
    </row>
    <row r="19" spans="2:66">
      <c r="B19" s="7">
        <v>5</v>
      </c>
      <c r="C19" t="s">
        <v>42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MAX(0,N38*F19-D8)</f>
        <v>6.6666666666666666E-2</v>
      </c>
      <c r="I19" s="19">
        <f>H19</f>
        <v>6.6666666666666666E-2</v>
      </c>
      <c r="J19" s="53">
        <f>balance!K28*main!AF21</f>
        <v>0.82400000000000007</v>
      </c>
      <c r="K19">
        <f>balance!L28</f>
        <v>-0.1</v>
      </c>
      <c r="L19" s="70">
        <f t="shared" si="4"/>
        <v>-6.6666666666666671E-3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43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0.15000000000000002</v>
      </c>
      <c r="I20" s="19">
        <f>H20</f>
        <v>0.15000000000000002</v>
      </c>
      <c r="J20">
        <f>balance!K29</f>
        <v>0</v>
      </c>
      <c r="K20">
        <f>balance!L29</f>
        <v>-0.1</v>
      </c>
      <c r="L20" s="70">
        <f t="shared" si="4"/>
        <v>-1.5000000000000003E-2</v>
      </c>
    </row>
    <row r="21" spans="2:66">
      <c r="B21" s="2">
        <v>7</v>
      </c>
      <c r="D21" s="6"/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K21">
        <f>balance!L30</f>
        <v>0</v>
      </c>
      <c r="L21" s="70">
        <f t="shared" si="4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K22">
        <f>balance!L31</f>
        <v>0</v>
      </c>
      <c r="L22" s="70">
        <f t="shared" si="4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K24" s="70">
        <f>ROUND(IF(K38&lt;0,K38/2,L24),0)</f>
        <v>0</v>
      </c>
      <c r="L24" s="70">
        <f>MAX(0,SUM(L14:L22))</f>
        <v>0.26833333333333337</v>
      </c>
    </row>
    <row r="25" spans="2:66">
      <c r="B25" s="18" t="s">
        <v>21</v>
      </c>
      <c r="C25" s="18"/>
      <c r="D25" s="18"/>
      <c r="E25" s="18"/>
    </row>
    <row r="26" spans="2:66">
      <c r="B26" s="18"/>
      <c r="C26" s="18" t="s">
        <v>25</v>
      </c>
      <c r="D26" s="18" t="s">
        <v>24</v>
      </c>
      <c r="E26" s="18"/>
    </row>
    <row r="27" spans="2:66">
      <c r="B27" s="18"/>
      <c r="C27" s="20">
        <v>41</v>
      </c>
      <c r="D27" s="20"/>
      <c r="E27" s="18"/>
    </row>
    <row r="28" spans="2:66">
      <c r="B28" s="10"/>
      <c r="C28" s="18"/>
      <c r="D28" s="18"/>
      <c r="E28" s="18"/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5" spans="2:17">
      <c r="N35" t="s">
        <v>130</v>
      </c>
    </row>
    <row r="36" spans="2:17">
      <c r="N36">
        <f>D4*D15</f>
        <v>3</v>
      </c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3">
      <c r="B38" s="93">
        <f>G38-D38</f>
        <v>-4.5</v>
      </c>
      <c r="C38" s="93"/>
      <c r="D38">
        <f>SUMPRODUCT('raw data'!D3:D11,'raw data'!E3:E11)</f>
        <v>4.5</v>
      </c>
      <c r="E38" s="2"/>
      <c r="F38" s="2"/>
      <c r="G38" s="90">
        <f>SUM(K3:K11)</f>
        <v>0</v>
      </c>
      <c r="H38" s="90"/>
      <c r="I38" s="28"/>
      <c r="J38" s="2"/>
      <c r="K38" s="17">
        <f>Q38-N38</f>
        <v>1</v>
      </c>
      <c r="L38" s="2"/>
      <c r="M38" s="2"/>
      <c r="N38">
        <v>1</v>
      </c>
      <c r="O38" s="2"/>
      <c r="P38" s="2"/>
      <c r="Q38" s="15">
        <f>ROUND(SUM('raw data'!G3:G11),0)</f>
        <v>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2" t="s">
        <v>19</v>
      </c>
      <c r="C40" s="2"/>
      <c r="D40" s="94" t="s">
        <v>20</v>
      </c>
      <c r="E40" s="94"/>
      <c r="F40" s="9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1</v>
      </c>
      <c r="C41" s="2"/>
      <c r="D41" s="95">
        <v>100</v>
      </c>
      <c r="E41" s="95"/>
      <c r="F41" s="95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6" t="s">
        <v>91</v>
      </c>
    </row>
    <row r="52" spans="1:20">
      <c r="A52" s="13" t="s">
        <v>93</v>
      </c>
      <c r="B52" s="47"/>
      <c r="C52" s="47" t="s">
        <v>95</v>
      </c>
      <c r="D52" s="13" t="s">
        <v>96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78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0">
        <v>1</v>
      </c>
      <c r="E53">
        <f>SUM(C53:C57)-C55</f>
        <v>0.31</v>
      </c>
      <c r="F53" s="61">
        <v>1</v>
      </c>
      <c r="G53" s="49">
        <f>1/2*C53+1/2*E53</f>
        <v>0.155</v>
      </c>
      <c r="H53" t="s">
        <v>148</v>
      </c>
      <c r="I53" t="s">
        <v>149</v>
      </c>
      <c r="Q53" s="1"/>
      <c r="R53" s="2">
        <v>0</v>
      </c>
      <c r="S53" t="s">
        <v>37</v>
      </c>
      <c r="T53" s="57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0">
        <v>2</v>
      </c>
      <c r="E54">
        <f>SUM(C54:C58)-C56</f>
        <v>0.31</v>
      </c>
      <c r="F54" s="61">
        <v>2</v>
      </c>
      <c r="G54" s="49">
        <f>1/2*C54+1/4*E54+1/4*E53</f>
        <v>0.1575</v>
      </c>
      <c r="H54" t="s">
        <v>150</v>
      </c>
      <c r="I54" t="s">
        <v>151</v>
      </c>
      <c r="Q54" s="1"/>
      <c r="R54" s="55">
        <v>1</v>
      </c>
      <c r="S54" t="s">
        <v>38</v>
      </c>
      <c r="T54" s="57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0">
        <v>3</v>
      </c>
      <c r="E55">
        <f>SUM(C56:C60)-C58</f>
        <v>0.61</v>
      </c>
      <c r="F55" s="61">
        <v>3</v>
      </c>
      <c r="G55" s="49">
        <f>1/2*C55+1/2*E54</f>
        <v>0.155</v>
      </c>
      <c r="H55" t="s">
        <v>152</v>
      </c>
      <c r="I55" t="s">
        <v>153</v>
      </c>
      <c r="Q55" s="1"/>
      <c r="R55" s="9">
        <v>2</v>
      </c>
      <c r="S55" t="s">
        <v>39</v>
      </c>
      <c r="T55" s="57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0">
        <v>4</v>
      </c>
      <c r="E56">
        <f>SUM(C57:C61)-C59</f>
        <v>0.61</v>
      </c>
      <c r="F56" s="61">
        <v>4</v>
      </c>
      <c r="G56" s="49">
        <f>1/2*C56+1/4*E53+1/4*E55</f>
        <v>0.22999999999999998</v>
      </c>
      <c r="H56" t="s">
        <v>154</v>
      </c>
      <c r="I56" t="s">
        <v>155</v>
      </c>
      <c r="Q56" s="1"/>
      <c r="R56" s="11">
        <v>3</v>
      </c>
      <c r="S56" t="s">
        <v>40</v>
      </c>
      <c r="T56" s="57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0.30499999999999999</v>
      </c>
      <c r="F57" s="61">
        <v>5</v>
      </c>
      <c r="G57" s="49">
        <f>(SUM(E53:E56)/8+1/2*C57)</f>
        <v>0.38249999999999995</v>
      </c>
      <c r="H57" t="s">
        <v>156</v>
      </c>
      <c r="I57" t="s">
        <v>157</v>
      </c>
      <c r="Q57" s="1"/>
      <c r="R57" s="8">
        <v>4</v>
      </c>
      <c r="S57" t="s">
        <v>41</v>
      </c>
      <c r="T57" s="57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1">
        <v>6</v>
      </c>
      <c r="G58" s="49">
        <f>1/2*C58+1/4*E54+1/4*E56</f>
        <v>0.22999999999999998</v>
      </c>
      <c r="H58" t="s">
        <v>158</v>
      </c>
      <c r="I58" t="s">
        <v>159</v>
      </c>
      <c r="Q58" s="1"/>
      <c r="R58" s="7">
        <v>5</v>
      </c>
      <c r="S58" t="s">
        <v>42</v>
      </c>
      <c r="T58" s="57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1">
        <v>7</v>
      </c>
      <c r="G59" s="49">
        <f>1/2*C59+1/2*E55</f>
        <v>0.30499999999999999</v>
      </c>
      <c r="H59" t="s">
        <v>160</v>
      </c>
      <c r="I59" t="s">
        <v>161</v>
      </c>
      <c r="Q59" s="1"/>
      <c r="R59" s="12">
        <v>6</v>
      </c>
      <c r="S59" t="s">
        <v>43</v>
      </c>
      <c r="T59" s="57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0.30499999999999999</v>
      </c>
      <c r="F60" s="61">
        <v>8</v>
      </c>
      <c r="G60" s="49">
        <f>1/2*C60+1/4*E55+1/4*E56</f>
        <v>0.45750000000000002</v>
      </c>
      <c r="H60" t="s">
        <v>162</v>
      </c>
      <c r="I60" t="s">
        <v>163</v>
      </c>
      <c r="Q60" s="1"/>
      <c r="R60" s="2">
        <v>7</v>
      </c>
      <c r="T60" s="57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1">
        <v>9</v>
      </c>
      <c r="G61" s="49">
        <f>1/2*C61+1/2*E56</f>
        <v>0.30499999999999999</v>
      </c>
      <c r="H61" t="s">
        <v>164</v>
      </c>
      <c r="I61" t="s">
        <v>165</v>
      </c>
      <c r="Q61" s="1"/>
      <c r="R61" s="2">
        <v>8</v>
      </c>
      <c r="T61" s="57">
        <f>balance!R10</f>
        <v>0</v>
      </c>
    </row>
    <row r="62" spans="1:20">
      <c r="A62" s="47"/>
      <c r="B62" s="35" t="s">
        <v>97</v>
      </c>
      <c r="D62" t="s">
        <v>98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2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V44"/>
  <sheetViews>
    <sheetView zoomScale="85" zoomScaleNormal="85" zoomScalePageLayoutView="85" workbookViewId="0">
      <selection activeCell="L23" sqref="L23"/>
    </sheetView>
  </sheetViews>
  <sheetFormatPr baseColWidth="10" defaultColWidth="8.85546875" defaultRowHeight="12" x14ac:dyDescent="0"/>
  <cols>
    <col min="1" max="1" width="11.42578125" bestFit="1" customWidth="1"/>
    <col min="2" max="2" width="12.7109375" bestFit="1" customWidth="1"/>
    <col min="3" max="3" width="18.140625" bestFit="1" customWidth="1"/>
    <col min="6" max="6" width="8.85546875" style="45"/>
    <col min="9" max="9" width="12.7109375" bestFit="1" customWidth="1"/>
    <col min="10" max="10" width="15.140625" bestFit="1" customWidth="1"/>
  </cols>
  <sheetData>
    <row r="1" spans="1:19">
      <c r="G1" s="2"/>
      <c r="I1" t="s">
        <v>75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89</v>
      </c>
      <c r="R1" s="56" t="s">
        <v>91</v>
      </c>
      <c r="S1" t="s">
        <v>99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2</v>
      </c>
      <c r="M2" s="1">
        <v>0.3</v>
      </c>
      <c r="O2" s="6"/>
      <c r="R2" s="57">
        <v>1E-3</v>
      </c>
      <c r="S2">
        <f>I2*R2</f>
        <v>0</v>
      </c>
    </row>
    <row r="3" spans="1:19">
      <c r="D3" s="99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83.333333324999998</v>
      </c>
      <c r="J3" s="37">
        <v>0.33333333329999998</v>
      </c>
      <c r="K3" s="37">
        <v>0.05</v>
      </c>
      <c r="L3" s="38">
        <v>4</v>
      </c>
      <c r="M3" s="1"/>
      <c r="O3" s="6">
        <v>0</v>
      </c>
      <c r="R3" s="57"/>
      <c r="S3">
        <f t="shared" ref="S3:S10" si="1">I3*R3</f>
        <v>0</v>
      </c>
    </row>
    <row r="4" spans="1:19">
      <c r="A4" s="1" t="s">
        <v>57</v>
      </c>
      <c r="B4" s="98" t="s">
        <v>115</v>
      </c>
      <c r="D4" s="99"/>
      <c r="E4" s="5" t="s">
        <v>60</v>
      </c>
      <c r="G4" s="9">
        <v>2</v>
      </c>
      <c r="H4" t="s">
        <v>39</v>
      </c>
      <c r="I4">
        <f t="shared" si="0"/>
        <v>25</v>
      </c>
      <c r="J4" s="46">
        <f>1/10</f>
        <v>0.1</v>
      </c>
      <c r="K4" s="37">
        <v>0.1</v>
      </c>
      <c r="L4" s="38">
        <v>7</v>
      </c>
      <c r="M4" s="1"/>
      <c r="O4" s="6">
        <v>40</v>
      </c>
      <c r="P4">
        <v>-5</v>
      </c>
      <c r="R4" s="58">
        <v>0.3</v>
      </c>
      <c r="S4">
        <f t="shared" si="1"/>
        <v>7.5</v>
      </c>
    </row>
    <row r="5" spans="1:19">
      <c r="A5" s="1" t="s">
        <v>58</v>
      </c>
      <c r="B5" s="98"/>
      <c r="D5" s="99"/>
      <c r="E5" s="5" t="s">
        <v>62</v>
      </c>
      <c r="G5" s="11">
        <v>3</v>
      </c>
      <c r="H5" t="s">
        <v>40</v>
      </c>
      <c r="I5">
        <f>-I4*P4/P5</f>
        <v>41.666666666666664</v>
      </c>
      <c r="J5" s="37"/>
      <c r="K5" s="37">
        <v>0.3</v>
      </c>
      <c r="L5" s="38">
        <v>15</v>
      </c>
      <c r="M5" s="1"/>
      <c r="O5" s="6">
        <v>82</v>
      </c>
      <c r="P5">
        <v>3</v>
      </c>
      <c r="R5" s="57">
        <v>-0.5</v>
      </c>
      <c r="S5">
        <f t="shared" si="1"/>
        <v>-20.833333333333332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1</v>
      </c>
      <c r="M6" s="1"/>
      <c r="O6" s="6">
        <v>15</v>
      </c>
      <c r="R6" s="57"/>
      <c r="S6">
        <f t="shared" si="1"/>
        <v>0</v>
      </c>
    </row>
    <row r="7" spans="1:19">
      <c r="B7" t="s">
        <v>71</v>
      </c>
      <c r="C7" t="s">
        <v>69</v>
      </c>
      <c r="D7" t="s">
        <v>70</v>
      </c>
      <c r="G7" s="7">
        <v>5</v>
      </c>
      <c r="H7" t="s">
        <v>42</v>
      </c>
      <c r="I7">
        <f t="shared" si="0"/>
        <v>16.666666666666668</v>
      </c>
      <c r="J7" s="37">
        <f>1/15</f>
        <v>6.6666666666666666E-2</v>
      </c>
      <c r="K7" s="37">
        <v>0.1</v>
      </c>
      <c r="L7" s="38">
        <v>5</v>
      </c>
      <c r="M7" s="1">
        <v>4</v>
      </c>
      <c r="O7" s="6"/>
      <c r="R7" s="58">
        <v>1.05</v>
      </c>
      <c r="S7">
        <f t="shared" si="1"/>
        <v>17.500000000000004</v>
      </c>
    </row>
    <row r="8" spans="1:19">
      <c r="B8" s="40" t="s">
        <v>73</v>
      </c>
      <c r="C8" s="41" t="s">
        <v>72</v>
      </c>
      <c r="D8" s="35"/>
      <c r="G8" s="12">
        <v>6</v>
      </c>
      <c r="H8" t="s">
        <v>43</v>
      </c>
      <c r="I8">
        <f>SUMPRODUCT(I2:I7,K2:K7)</f>
        <v>20.833333332916666</v>
      </c>
      <c r="J8" s="37"/>
      <c r="K8" s="37"/>
      <c r="L8" s="38">
        <v>25</v>
      </c>
      <c r="M8" s="1">
        <v>15</v>
      </c>
      <c r="O8" s="6"/>
      <c r="R8" s="57">
        <v>-0.2</v>
      </c>
      <c r="S8">
        <f t="shared" si="1"/>
        <v>-4.1666666665833336</v>
      </c>
    </row>
    <row r="9" spans="1:19">
      <c r="G9" s="2">
        <v>7</v>
      </c>
      <c r="I9">
        <f t="shared" si="0"/>
        <v>0</v>
      </c>
      <c r="J9" s="37"/>
      <c r="K9" s="37"/>
      <c r="L9" s="38"/>
      <c r="M9" s="1"/>
      <c r="O9" s="6"/>
      <c r="R9" s="57"/>
      <c r="S9">
        <f t="shared" si="1"/>
        <v>0</v>
      </c>
    </row>
    <row r="10" spans="1:19" ht="17">
      <c r="B10" s="96" t="s">
        <v>116</v>
      </c>
      <c r="C10" s="96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77</v>
      </c>
      <c r="O10" s="6"/>
      <c r="R10" s="57"/>
      <c r="S10">
        <f t="shared" si="1"/>
        <v>0</v>
      </c>
    </row>
    <row r="11" spans="1:19" ht="17">
      <c r="B11" s="40" t="s">
        <v>74</v>
      </c>
      <c r="C11" s="41"/>
      <c r="D11" s="35"/>
      <c r="M11">
        <f>SUMPRODUCT(I2:I10,M2:M10)*B6</f>
        <v>341.24999999437506</v>
      </c>
      <c r="N11" s="44">
        <f>M11/O11</f>
        <v>0.8584905660235852</v>
      </c>
      <c r="O11">
        <f>SUMPRODUCT(I2:I10,O2:O10)*D6</f>
        <v>397.49999999999994</v>
      </c>
      <c r="R11" s="57"/>
    </row>
    <row r="12" spans="1:19">
      <c r="H12" s="43" t="s">
        <v>117</v>
      </c>
      <c r="I12" s="43" t="s">
        <v>76</v>
      </c>
      <c r="J12" s="43"/>
      <c r="K12" s="43"/>
      <c r="L12" s="43"/>
      <c r="M12" s="43"/>
      <c r="N12" s="43"/>
      <c r="O12" s="43"/>
      <c r="P12" t="s">
        <v>168</v>
      </c>
      <c r="S12" t="s">
        <v>100</v>
      </c>
    </row>
    <row r="13" spans="1:19">
      <c r="H13" s="43"/>
      <c r="I13" s="43">
        <v>250</v>
      </c>
      <c r="J13" s="43"/>
      <c r="K13" s="43" t="s">
        <v>118</v>
      </c>
      <c r="L13" s="43"/>
      <c r="M13" s="43"/>
      <c r="N13" s="43"/>
      <c r="O13" s="43"/>
      <c r="P13">
        <f>O11-M11</f>
        <v>56.250000005624884</v>
      </c>
      <c r="S13">
        <f>SUM(S2:S11)</f>
        <v>8.3337781120462751E-11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104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">
      <c r="A22" t="s">
        <v>121</v>
      </c>
      <c r="B22" s="66">
        <v>75</v>
      </c>
      <c r="G22" s="2"/>
      <c r="I22" t="s">
        <v>75</v>
      </c>
      <c r="J22" t="s">
        <v>10</v>
      </c>
      <c r="K22" t="s">
        <v>114</v>
      </c>
      <c r="L22" t="s">
        <v>113</v>
      </c>
      <c r="M22" t="s">
        <v>27</v>
      </c>
    </row>
    <row r="23" spans="1:21">
      <c r="A23" t="s">
        <v>110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83.333333324999998</v>
      </c>
      <c r="J24" s="5"/>
      <c r="K24" s="6"/>
      <c r="L24" s="6"/>
      <c r="M24">
        <f t="shared" ref="M24:M31" si="3">I24*K24</f>
        <v>0</v>
      </c>
    </row>
    <row r="25" spans="1:21">
      <c r="G25" s="9">
        <v>2</v>
      </c>
      <c r="H25" t="s">
        <v>39</v>
      </c>
      <c r="I25">
        <f t="shared" si="2"/>
        <v>25</v>
      </c>
      <c r="J25" s="5">
        <v>2</v>
      </c>
      <c r="K25" s="6">
        <v>0.2</v>
      </c>
      <c r="L25" s="6">
        <v>-0.1</v>
      </c>
      <c r="M25">
        <f t="shared" si="3"/>
        <v>5</v>
      </c>
    </row>
    <row r="26" spans="1:21">
      <c r="G26" s="11">
        <v>3</v>
      </c>
      <c r="H26" t="s">
        <v>40</v>
      </c>
      <c r="I26">
        <f t="shared" si="2"/>
        <v>41.666666666666664</v>
      </c>
      <c r="J26" s="5">
        <f>(I13-I25*J25-I23*J23-I27*J27-I28*J28-I29*J29)/I26</f>
        <v>3.2600000000300007</v>
      </c>
      <c r="K26" s="6">
        <v>-0.48</v>
      </c>
      <c r="L26" s="6"/>
      <c r="M26">
        <f t="shared" si="3"/>
        <v>-19.999999999999996</v>
      </c>
    </row>
    <row r="27" spans="1:21">
      <c r="G27" s="8">
        <v>4</v>
      </c>
      <c r="H27" t="s">
        <v>41</v>
      </c>
      <c r="I27">
        <f t="shared" si="2"/>
        <v>0</v>
      </c>
      <c r="J27" s="5">
        <v>0.2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16.666666666666668</v>
      </c>
      <c r="J28" s="5">
        <v>0.1</v>
      </c>
      <c r="K28" s="6">
        <v>1.03</v>
      </c>
      <c r="L28" s="6">
        <v>-0.1</v>
      </c>
      <c r="M28">
        <f t="shared" si="3"/>
        <v>17.166666666666668</v>
      </c>
    </row>
    <row r="29" spans="1:21">
      <c r="G29" s="12">
        <v>6</v>
      </c>
      <c r="H29" t="s">
        <v>43</v>
      </c>
      <c r="I29">
        <f t="shared" si="2"/>
        <v>20.833333332916666</v>
      </c>
      <c r="J29" s="5">
        <v>3</v>
      </c>
      <c r="K29" s="6"/>
      <c r="L29" s="6">
        <v>-0.1</v>
      </c>
      <c r="M29">
        <f t="shared" si="3"/>
        <v>0</v>
      </c>
    </row>
    <row r="30" spans="1:21">
      <c r="G30" s="2">
        <v>7</v>
      </c>
      <c r="I30">
        <f t="shared" si="2"/>
        <v>0</v>
      </c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120</v>
      </c>
      <c r="M32" t="s">
        <v>5</v>
      </c>
    </row>
    <row r="33" spans="1:22">
      <c r="L33" s="71">
        <f>250/M33</f>
        <v>115.38461538461513</v>
      </c>
      <c r="M33">
        <f>MAX(0,SUM(M23:M31))</f>
        <v>2.1666666666666714</v>
      </c>
    </row>
    <row r="35" spans="1:22">
      <c r="A35" s="35" t="s">
        <v>137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  <row r="36" spans="1:22">
      <c r="A36" t="s">
        <v>138</v>
      </c>
      <c r="B36">
        <v>-5</v>
      </c>
    </row>
    <row r="37" spans="1:22">
      <c r="A37" t="s">
        <v>146</v>
      </c>
      <c r="B37">
        <v>-4</v>
      </c>
    </row>
    <row r="38" spans="1:22">
      <c r="A38" t="s">
        <v>144</v>
      </c>
      <c r="B38">
        <v>-3</v>
      </c>
    </row>
    <row r="39" spans="1:22">
      <c r="A39" t="s">
        <v>145</v>
      </c>
      <c r="B39">
        <v>-2</v>
      </c>
    </row>
    <row r="40" spans="1:22">
      <c r="A40" t="s">
        <v>143</v>
      </c>
      <c r="B40">
        <v>-1</v>
      </c>
    </row>
    <row r="41" spans="1:22">
      <c r="A41" t="s">
        <v>140</v>
      </c>
      <c r="B41">
        <v>0</v>
      </c>
    </row>
    <row r="42" spans="1:22">
      <c r="A42" t="s">
        <v>139</v>
      </c>
      <c r="B42">
        <v>1</v>
      </c>
    </row>
    <row r="43" spans="1:22">
      <c r="A43" t="s">
        <v>142</v>
      </c>
      <c r="B43">
        <v>2</v>
      </c>
    </row>
    <row r="44" spans="1:22">
      <c r="A44" t="s">
        <v>141</v>
      </c>
      <c r="B44">
        <v>3</v>
      </c>
    </row>
  </sheetData>
  <mergeCells count="3">
    <mergeCell ref="B10:C10"/>
    <mergeCell ref="B4:B5"/>
    <mergeCell ref="D3:D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127000</xdr:rowOff>
                  </from>
                  <to>
                    <xdr:col>9</xdr:col>
                    <xdr:colOff>444500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0" tint="-4.9989318521683403E-2"/>
  </sheetPr>
  <dimension ref="A1:D20"/>
  <sheetViews>
    <sheetView workbookViewId="0">
      <selection activeCell="C2" sqref="C2"/>
    </sheetView>
  </sheetViews>
  <sheetFormatPr baseColWidth="10" defaultColWidth="8.85546875" defaultRowHeight="12" x14ac:dyDescent="0"/>
  <cols>
    <col min="1" max="1" width="11.7109375" customWidth="1"/>
    <col min="2" max="2" width="29" customWidth="1"/>
    <col min="3" max="3" width="60.140625" customWidth="1"/>
    <col min="4" max="4" width="26" customWidth="1"/>
  </cols>
  <sheetData>
    <row r="1" spans="1:4" ht="67.5" customHeight="1">
      <c r="A1" s="65" t="s">
        <v>108</v>
      </c>
      <c r="B1" s="65" t="s">
        <v>109</v>
      </c>
      <c r="C1" s="65" t="s">
        <v>111</v>
      </c>
      <c r="D1" s="76"/>
    </row>
    <row r="2" spans="1:4">
      <c r="A2" t="s">
        <v>106</v>
      </c>
      <c r="B2" s="100" t="s">
        <v>135</v>
      </c>
      <c r="C2" s="78" t="s">
        <v>147</v>
      </c>
    </row>
    <row r="3" spans="1:4">
      <c r="B3" s="100"/>
      <c r="C3" s="79" t="s">
        <v>134</v>
      </c>
    </row>
    <row r="4" spans="1:4" ht="24">
      <c r="B4" s="100"/>
      <c r="C4" s="80" t="s">
        <v>136</v>
      </c>
    </row>
    <row r="5" spans="1:4">
      <c r="B5" s="101"/>
    </row>
    <row r="6" spans="1:4">
      <c r="B6" s="101"/>
    </row>
    <row r="8" spans="1:4">
      <c r="A8" t="s">
        <v>105</v>
      </c>
    </row>
    <row r="9" spans="1:4">
      <c r="B9" t="s">
        <v>79</v>
      </c>
      <c r="C9" t="s">
        <v>80</v>
      </c>
    </row>
    <row r="12" spans="1:4">
      <c r="A12" t="s">
        <v>107</v>
      </c>
    </row>
    <row r="13" spans="1:4">
      <c r="B13" s="64">
        <v>42438</v>
      </c>
      <c r="C13" t="s">
        <v>101</v>
      </c>
    </row>
    <row r="14" spans="1:4">
      <c r="C14" t="s">
        <v>102</v>
      </c>
    </row>
    <row r="15" spans="1:4">
      <c r="C15" t="s">
        <v>103</v>
      </c>
    </row>
    <row r="16" spans="1:4">
      <c r="C16" t="s">
        <v>119</v>
      </c>
    </row>
    <row r="17" spans="2:3">
      <c r="B17" s="64">
        <v>42445</v>
      </c>
      <c r="C17" t="s">
        <v>123</v>
      </c>
    </row>
    <row r="18" spans="2:3">
      <c r="B18" s="64">
        <v>42449</v>
      </c>
      <c r="C18" t="s">
        <v>122</v>
      </c>
    </row>
    <row r="19" spans="2:3">
      <c r="B19" s="64">
        <v>42473</v>
      </c>
      <c r="C19" s="49" t="s">
        <v>133</v>
      </c>
    </row>
    <row r="20" spans="2:3">
      <c r="B20" s="77" t="s">
        <v>166</v>
      </c>
      <c r="C20" t="s">
        <v>167</v>
      </c>
    </row>
  </sheetData>
  <mergeCells count="2">
    <mergeCell ref="B2:B4"/>
    <mergeCell ref="B5:B6"/>
  </mergeCells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禹 王</cp:lastModifiedBy>
  <dcterms:created xsi:type="dcterms:W3CDTF">2015-06-05T18:19:34Z</dcterms:created>
  <dcterms:modified xsi:type="dcterms:W3CDTF">2017-02-10T14:15:44Z</dcterms:modified>
  <cp:category>demo</cp:category>
</cp:coreProperties>
</file>