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filterPrivacy="1" codeName="ThisWorkbook" defaultThemeVersion="164011"/>
  <bookViews>
    <workbookView xWindow="7440" yWindow="0" windowWidth="22260" windowHeight="12645" activeTab="1"/>
  </bookViews>
  <sheets>
    <sheet name="main" sheetId="1" r:id="rId1"/>
    <sheet name="background" sheetId="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3" l="1"/>
  <c r="J21" i="1" l="1"/>
  <c r="N18" i="1"/>
  <c r="B21" i="1"/>
  <c r="D3" i="3"/>
  <c r="D4" i="3"/>
  <c r="G4" i="3" s="1"/>
  <c r="D5" i="3"/>
  <c r="D6" i="3"/>
  <c r="G6" i="3" s="1"/>
  <c r="J6" i="3"/>
  <c r="D7" i="3"/>
  <c r="G7" i="3" s="1"/>
  <c r="J7" i="3"/>
  <c r="D8" i="3"/>
  <c r="D9" i="3"/>
  <c r="G9" i="3" s="1"/>
  <c r="D10" i="3"/>
  <c r="G10" i="3" s="1"/>
  <c r="D11" i="3"/>
  <c r="G11" i="3" s="1"/>
  <c r="F16" i="3"/>
  <c r="H16" i="3" s="1"/>
  <c r="L16" i="3" s="1"/>
  <c r="E18" i="3"/>
  <c r="F19" i="3"/>
  <c r="G23" i="3"/>
  <c r="G5" i="3" l="1"/>
  <c r="H17" i="3"/>
  <c r="G8" i="3"/>
  <c r="G3" i="3"/>
  <c r="L14" i="3"/>
  <c r="D38" i="3"/>
  <c r="D18" i="1" s="1"/>
  <c r="L17" i="3"/>
  <c r="L19" i="3"/>
  <c r="L18" i="3"/>
  <c r="H20" i="3"/>
  <c r="I20" i="3" s="1"/>
  <c r="L20" i="3" l="1"/>
  <c r="Q38" i="3"/>
  <c r="P18" i="1" s="1"/>
  <c r="L24" i="3"/>
  <c r="K38" i="3" l="1"/>
  <c r="H19" i="3" l="1"/>
  <c r="I19" i="3" s="1"/>
  <c r="K24" i="3"/>
  <c r="J18" i="1"/>
  <c r="K6" i="3"/>
  <c r="L6" i="3" s="1"/>
  <c r="K4" i="3"/>
  <c r="L4" i="3" s="1"/>
  <c r="K5" i="3"/>
  <c r="L5" i="3" s="1"/>
  <c r="K11" i="3"/>
  <c r="L11" i="3" s="1"/>
  <c r="K7" i="3"/>
  <c r="L7" i="3" s="1"/>
  <c r="I17" i="3"/>
  <c r="K8" i="3"/>
  <c r="L8" i="3" s="1"/>
  <c r="K10" i="3"/>
  <c r="L10" i="3" s="1"/>
  <c r="K3" i="3"/>
  <c r="L3" i="3" s="1"/>
  <c r="I16" i="3"/>
  <c r="H18" i="3"/>
  <c r="I18" i="3" s="1"/>
  <c r="K9" i="3"/>
  <c r="L9" i="3" s="1"/>
  <c r="H15" i="3"/>
  <c r="I15" i="3" s="1"/>
  <c r="G38" i="3" l="1"/>
  <c r="G18" i="1" s="1"/>
  <c r="B38" i="3" l="1"/>
  <c r="A18" i="1" s="1"/>
</calcChain>
</file>

<file path=xl/sharedStrings.xml><?xml version="1.0" encoding="utf-8"?>
<sst xmlns="http://schemas.openxmlformats.org/spreadsheetml/2006/main" count="81" uniqueCount="63">
  <si>
    <t>ref</t>
    <phoneticPr fontId="1" type="noConversion"/>
  </si>
  <si>
    <t>count</t>
    <phoneticPr fontId="1" type="noConversion"/>
  </si>
  <si>
    <t>maintainence</t>
    <phoneticPr fontId="1" type="noConversion"/>
  </si>
  <si>
    <t>tax rate</t>
    <phoneticPr fontId="1" type="noConversion"/>
  </si>
  <si>
    <t>tax</t>
    <phoneticPr fontId="1" type="noConversion"/>
  </si>
  <si>
    <t>income</t>
    <phoneticPr fontId="1" type="noConversion"/>
  </si>
  <si>
    <t>total</t>
    <phoneticPr fontId="1" type="noConversion"/>
  </si>
  <si>
    <t>total income</t>
    <phoneticPr fontId="1" type="noConversion"/>
  </si>
  <si>
    <t>profit</t>
    <phoneticPr fontId="1" type="noConversion"/>
  </si>
  <si>
    <t>total spend</t>
    <phoneticPr fontId="1" type="noConversion"/>
  </si>
  <si>
    <t>people</t>
    <phoneticPr fontId="1" type="noConversion"/>
  </si>
  <si>
    <t>job/t</t>
    <phoneticPr fontId="1" type="noConversion"/>
  </si>
  <si>
    <t>open jobs</t>
    <phoneticPr fontId="1" type="noConversion"/>
  </si>
  <si>
    <t>cur_demand</t>
    <phoneticPr fontId="1" type="noConversion"/>
  </si>
  <si>
    <t>req. code</t>
    <phoneticPr fontId="1" type="noConversion"/>
  </si>
  <si>
    <t>ax. Income</t>
    <phoneticPr fontId="1" type="noConversion"/>
  </si>
  <si>
    <t>total job</t>
    <phoneticPr fontId="1" type="noConversion"/>
  </si>
  <si>
    <t>total people</t>
    <phoneticPr fontId="1" type="noConversion"/>
  </si>
  <si>
    <t>total jobs</t>
    <phoneticPr fontId="1" type="noConversion"/>
  </si>
  <si>
    <t>water/elec req/t</t>
    <phoneticPr fontId="1" type="noConversion"/>
  </si>
  <si>
    <t>work will</t>
    <phoneticPr fontId="1" type="noConversion"/>
  </si>
  <si>
    <t>day</t>
    <phoneticPr fontId="1" type="noConversion"/>
  </si>
  <si>
    <t>money</t>
    <phoneticPr fontId="1" type="noConversion"/>
  </si>
  <si>
    <t>savings, DON'T  TOUCH</t>
    <phoneticPr fontId="1" type="noConversion"/>
  </si>
  <si>
    <t>cost</t>
    <phoneticPr fontId="1" type="noConversion"/>
  </si>
  <si>
    <t>happiness/t</t>
    <phoneticPr fontId="1" type="noConversion"/>
  </si>
  <si>
    <t>over the roof</t>
    <phoneticPr fontId="1" type="noConversion"/>
  </si>
  <si>
    <t>people_count</t>
    <phoneticPr fontId="1" type="noConversion"/>
  </si>
  <si>
    <t>cost_count</t>
    <phoneticPr fontId="1" type="noConversion"/>
  </si>
  <si>
    <t>immigrant</t>
    <phoneticPr fontId="1" type="noConversion"/>
  </si>
  <si>
    <t>delta happiness</t>
    <phoneticPr fontId="1" type="noConversion"/>
  </si>
  <si>
    <t>操作区</t>
    <phoneticPr fontId="1" type="noConversion"/>
  </si>
  <si>
    <t>地图</t>
  </si>
  <si>
    <t>净收入</t>
    <phoneticPr fontId="1" type="noConversion"/>
  </si>
  <si>
    <t>总花费</t>
    <phoneticPr fontId="1" type="noConversion"/>
  </si>
  <si>
    <t>总收入</t>
    <phoneticPr fontId="1" type="noConversion"/>
  </si>
  <si>
    <t>总人口</t>
    <phoneticPr fontId="1" type="noConversion"/>
  </si>
  <si>
    <t>总工作</t>
    <phoneticPr fontId="1" type="noConversion"/>
  </si>
  <si>
    <t>日数</t>
    <phoneticPr fontId="1" type="noConversion"/>
  </si>
  <si>
    <t>现金</t>
    <phoneticPr fontId="1" type="noConversion"/>
  </si>
  <si>
    <t>道路</t>
    <phoneticPr fontId="1" type="noConversion"/>
  </si>
  <si>
    <t>住房</t>
    <phoneticPr fontId="1" type="noConversion"/>
  </si>
  <si>
    <t>商业</t>
    <phoneticPr fontId="1" type="noConversion"/>
  </si>
  <si>
    <t>工业</t>
    <phoneticPr fontId="1" type="noConversion"/>
  </si>
  <si>
    <t>农业</t>
    <phoneticPr fontId="1" type="noConversion"/>
  </si>
  <si>
    <t>公众设施</t>
    <phoneticPr fontId="1" type="noConversion"/>
  </si>
  <si>
    <t>水电建筑</t>
    <phoneticPr fontId="1" type="noConversion"/>
  </si>
  <si>
    <t>税率</t>
    <phoneticPr fontId="1" type="noConversion"/>
  </si>
  <si>
    <t>图表</t>
    <phoneticPr fontId="1" type="noConversion"/>
  </si>
  <si>
    <t>by 王禹 2016/2/26 v0.1</t>
    <phoneticPr fontId="1" type="noConversion"/>
  </si>
  <si>
    <t>空闲工作机会</t>
    <phoneticPr fontId="1" type="noConversion"/>
  </si>
  <si>
    <t>req/per</t>
    <phoneticPr fontId="1" type="noConversion"/>
  </si>
  <si>
    <t>demand after tax</t>
    <phoneticPr fontId="1" type="noConversion"/>
  </si>
  <si>
    <t>merely by number of people</t>
    <phoneticPr fontId="1" type="noConversion"/>
  </si>
  <si>
    <t>by jobs available</t>
    <phoneticPr fontId="1" type="noConversion"/>
  </si>
  <si>
    <t>goods</t>
    <phoneticPr fontId="1" type="noConversion"/>
  </si>
  <si>
    <t>commercial needs</t>
    <phoneticPr fontId="1" type="noConversion"/>
  </si>
  <si>
    <t>simcity4 design ref</t>
    <phoneticPr fontId="1" type="noConversion"/>
  </si>
  <si>
    <t>RCI</t>
    <phoneticPr fontId="1" type="noConversion"/>
  </si>
  <si>
    <t>commercial</t>
    <phoneticPr fontId="1" type="noConversion"/>
  </si>
  <si>
    <t>industry</t>
    <phoneticPr fontId="1" type="noConversion"/>
  </si>
  <si>
    <t>residential</t>
    <phoneticPr fontId="1" type="noConversion"/>
  </si>
  <si>
    <t>density and wealth value, how does this work in simcity4 and simcity?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</si>
</sst>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12"/>
      <color theme="1"/>
      <name val="等线"/>
      <family val="2"/>
      <scheme val="minor"/>
    </font>
    <font>
      <sz val="11"/>
      <color rgb="FF000000"/>
      <name val="等线"/>
      <family val="3"/>
      <charset val="134"/>
    </font>
    <font>
      <b/>
      <sz val="14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A7A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474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3" borderId="0" xfId="0" applyFill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7" borderId="0" xfId="0" applyFill="1"/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0" borderId="0" xfId="0" applyFont="1"/>
    <xf numFmtId="0" fontId="4" fillId="3" borderId="0" xfId="0" applyFont="1" applyFill="1" applyAlignment="1">
      <alignment horizontal="left" vertical="center"/>
    </xf>
    <xf numFmtId="0" fontId="5" fillId="0" borderId="0" xfId="0" applyFont="1"/>
    <xf numFmtId="0" fontId="0" fillId="10" borderId="0" xfId="0" applyFill="1"/>
    <xf numFmtId="0" fontId="2" fillId="13" borderId="0" xfId="0" applyFont="1" applyFill="1"/>
    <xf numFmtId="0" fontId="0" fillId="10" borderId="0" xfId="0" applyFill="1" applyAlignment="1">
      <alignment horizontal="left"/>
    </xf>
    <xf numFmtId="0" fontId="0" fillId="0" borderId="0" xfId="0" applyAlignment="1">
      <alignment horizontal="center" vertical="top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4" borderId="0" xfId="0" applyFill="1" applyAlignment="1">
      <alignment horizontal="center" vertical="center"/>
    </xf>
    <xf numFmtId="0" fontId="0" fillId="14" borderId="0" xfId="0" applyFill="1" applyAlignment="1">
      <alignment horizontal="left" vertical="center"/>
    </xf>
    <xf numFmtId="0" fontId="4" fillId="14" borderId="0" xfId="0" applyFont="1" applyFill="1" applyAlignment="1">
      <alignment horizontal="left" vertical="center"/>
    </xf>
    <xf numFmtId="0" fontId="0" fillId="14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8" fillId="14" borderId="0" xfId="0" applyFont="1" applyFill="1" applyAlignment="1">
      <alignment horizontal="center" vertical="center"/>
    </xf>
    <xf numFmtId="0" fontId="8" fillId="14" borderId="0" xfId="0" applyFont="1" applyFill="1" applyAlignment="1">
      <alignment horizontal="left" vertical="center"/>
    </xf>
    <xf numFmtId="0" fontId="9" fillId="14" borderId="0" xfId="0" applyFont="1" applyFill="1" applyAlignment="1">
      <alignment horizontal="left" vertical="center"/>
    </xf>
    <xf numFmtId="0" fontId="9" fillId="1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15" borderId="0" xfId="0" applyFont="1" applyFill="1"/>
    <xf numFmtId="0" fontId="0" fillId="16" borderId="0" xfId="0" applyFill="1"/>
    <xf numFmtId="0" fontId="0" fillId="17" borderId="0" xfId="0" applyFill="1"/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Alignment="1">
      <alignment horizontal="left"/>
    </xf>
    <xf numFmtId="0" fontId="8" fillId="0" borderId="0" xfId="0" applyFont="1" applyAlignment="1">
      <alignment horizontal="center" vertical="top"/>
    </xf>
    <xf numFmtId="0" fontId="8" fillId="14" borderId="0" xfId="0" applyFont="1" applyFill="1" applyAlignment="1">
      <alignment horizontal="center" vertical="center"/>
    </xf>
    <xf numFmtId="0" fontId="6" fillId="0" borderId="0" xfId="0" applyFont="1" applyAlignment="1">
      <alignment horizontal="center" wrapText="1"/>
    </xf>
    <xf numFmtId="0" fontId="8" fillId="0" borderId="0" xfId="0" applyFont="1" applyAlignment="1">
      <alignment horizontal="center" wrapText="1"/>
    </xf>
    <xf numFmtId="0" fontId="5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2" fillId="1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4747"/>
      <color rgb="FFFFA7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需求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background!$C$15:$C$20</c:f>
              <c:strCache>
                <c:ptCount val="6"/>
                <c:pt idx="0">
                  <c:v>住房</c:v>
                </c:pt>
                <c:pt idx="1">
                  <c:v>商业</c:v>
                </c:pt>
                <c:pt idx="2">
                  <c:v>工业</c:v>
                </c:pt>
                <c:pt idx="3">
                  <c:v>农业</c:v>
                </c:pt>
                <c:pt idx="4">
                  <c:v>公众设施</c:v>
                </c:pt>
                <c:pt idx="5">
                  <c:v>水电建筑</c:v>
                </c:pt>
              </c:strCache>
            </c:strRef>
          </c:cat>
          <c:val>
            <c:numRef>
              <c:f>background!$I$15:$I$20</c:f>
              <c:numCache>
                <c:formatCode>General</c:formatCode>
                <c:ptCount val="6"/>
                <c:pt idx="0">
                  <c:v>0.38849999999999996</c:v>
                </c:pt>
                <c:pt idx="1">
                  <c:v>0.49875000000000003</c:v>
                </c:pt>
                <c:pt idx="2">
                  <c:v>1.744</c:v>
                </c:pt>
                <c:pt idx="3">
                  <c:v>0.58274999999999999</c:v>
                </c:pt>
                <c:pt idx="4">
                  <c:v>0</c:v>
                </c:pt>
                <c:pt idx="5">
                  <c:v>-0.88999999999999879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62-4E0E-B118-4D38C5FCF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3632104"/>
        <c:axId val="533632432"/>
      </c:barChart>
      <c:catAx>
        <c:axId val="533632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3632432"/>
        <c:crosses val="autoZero"/>
        <c:auto val="1"/>
        <c:lblAlgn val="ctr"/>
        <c:lblOffset val="100"/>
        <c:noMultiLvlLbl val="0"/>
      </c:catAx>
      <c:valAx>
        <c:axId val="53363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3632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影响满足度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background!$C$14:$C$22</c:f>
              <c:strCache>
                <c:ptCount val="7"/>
                <c:pt idx="0">
                  <c:v>道路</c:v>
                </c:pt>
                <c:pt idx="1">
                  <c:v>住房</c:v>
                </c:pt>
                <c:pt idx="2">
                  <c:v>商业</c:v>
                </c:pt>
                <c:pt idx="3">
                  <c:v>工业</c:v>
                </c:pt>
                <c:pt idx="4">
                  <c:v>农业</c:v>
                </c:pt>
                <c:pt idx="5">
                  <c:v>公众设施</c:v>
                </c:pt>
                <c:pt idx="6">
                  <c:v>水电建筑</c:v>
                </c:pt>
              </c:strCache>
            </c:strRef>
          </c:cat>
          <c:val>
            <c:numRef>
              <c:f>background!$L$14:$L$22</c:f>
              <c:numCache>
                <c:formatCode>General</c:formatCode>
                <c:ptCount val="9"/>
                <c:pt idx="0">
                  <c:v>-7.6543209876543228E-2</c:v>
                </c:pt>
                <c:pt idx="2">
                  <c:v>-0.20999999999999996</c:v>
                </c:pt>
                <c:pt idx="3">
                  <c:v>-1.6</c:v>
                </c:pt>
                <c:pt idx="4">
                  <c:v>0</c:v>
                </c:pt>
                <c:pt idx="5">
                  <c:v>6</c:v>
                </c:pt>
                <c:pt idx="6">
                  <c:v>8.8999999999999885E-2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6A-4AA3-BE65-4F9B7562F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0197936"/>
        <c:axId val="740197280"/>
      </c:barChart>
      <c:catAx>
        <c:axId val="74019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0197280"/>
        <c:crosses val="autoZero"/>
        <c:auto val="1"/>
        <c:lblAlgn val="ctr"/>
        <c:lblOffset val="100"/>
        <c:noMultiLvlLbl val="0"/>
      </c:catAx>
      <c:valAx>
        <c:axId val="7401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019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159403</xdr:colOff>
      <xdr:row>0</xdr:row>
      <xdr:rowOff>136712</xdr:rowOff>
    </xdr:from>
    <xdr:to>
      <xdr:col>25</xdr:col>
      <xdr:colOff>274824</xdr:colOff>
      <xdr:row>9</xdr:row>
      <xdr:rowOff>230282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619125</xdr:colOff>
          <xdr:row>24</xdr:row>
          <xdr:rowOff>276225</xdr:rowOff>
        </xdr:from>
        <xdr:to>
          <xdr:col>27</xdr:col>
          <xdr:colOff>257175</xdr:colOff>
          <xdr:row>27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前进一天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25</xdr:row>
          <xdr:rowOff>0</xdr:rowOff>
        </xdr:from>
        <xdr:to>
          <xdr:col>25</xdr:col>
          <xdr:colOff>142875</xdr:colOff>
          <xdr:row>27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清算建造花费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655544</xdr:colOff>
      <xdr:row>0</xdr:row>
      <xdr:rowOff>113178</xdr:rowOff>
    </xdr:from>
    <xdr:to>
      <xdr:col>32</xdr:col>
      <xdr:colOff>442632</xdr:colOff>
      <xdr:row>9</xdr:row>
      <xdr:rowOff>234202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83"/>
  <sheetViews>
    <sheetView zoomScaleNormal="100" workbookViewId="0">
      <selection activeCell="L13" sqref="K13:L14"/>
    </sheetView>
  </sheetViews>
  <sheetFormatPr defaultRowHeight="15" customHeight="1"/>
  <cols>
    <col min="1" max="1" width="4.125" style="4" customWidth="1"/>
    <col min="2" max="16" width="4.125" style="2" customWidth="1"/>
    <col min="17" max="17" width="6.375" style="1" customWidth="1"/>
    <col min="18" max="18" width="4.5" customWidth="1"/>
    <col min="19" max="19" width="4.5" style="2" customWidth="1"/>
    <col min="26" max="27" width="4.875" customWidth="1"/>
  </cols>
  <sheetData>
    <row r="1" spans="1:19" ht="23.25" customHeight="1">
      <c r="A1" s="14" t="s">
        <v>49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9" ht="23.25" customHeight="1">
      <c r="J2" s="3">
        <v>1</v>
      </c>
      <c r="K2" s="3">
        <v>1</v>
      </c>
      <c r="L2" s="3">
        <v>1</v>
      </c>
      <c r="M2" s="2">
        <v>0</v>
      </c>
      <c r="N2" s="3">
        <v>1</v>
      </c>
      <c r="O2" s="3">
        <v>1</v>
      </c>
      <c r="P2" s="3">
        <v>1</v>
      </c>
    </row>
    <row r="3" spans="1:19" ht="23.25" customHeight="1">
      <c r="J3" s="3">
        <v>1</v>
      </c>
      <c r="K3" s="3">
        <v>1</v>
      </c>
      <c r="L3" s="3">
        <v>1</v>
      </c>
      <c r="M3" s="2">
        <v>0</v>
      </c>
      <c r="N3" s="3">
        <v>1</v>
      </c>
      <c r="O3" s="3">
        <v>1</v>
      </c>
      <c r="P3" s="3">
        <v>1</v>
      </c>
    </row>
    <row r="4" spans="1:19" ht="23.25" customHeight="1">
      <c r="J4" s="3">
        <v>1</v>
      </c>
      <c r="K4" s="3">
        <v>1</v>
      </c>
      <c r="L4" s="3">
        <v>1</v>
      </c>
      <c r="M4" s="2">
        <v>0</v>
      </c>
      <c r="N4" s="3">
        <v>1</v>
      </c>
      <c r="O4" s="3">
        <v>1</v>
      </c>
      <c r="P4" s="3">
        <v>1</v>
      </c>
    </row>
    <row r="5" spans="1:19" ht="23.25" customHeight="1">
      <c r="J5" s="3">
        <v>1</v>
      </c>
      <c r="K5" s="3">
        <v>1</v>
      </c>
      <c r="L5" s="3">
        <v>1</v>
      </c>
      <c r="M5" s="2">
        <v>0</v>
      </c>
      <c r="N5" s="3">
        <v>1</v>
      </c>
      <c r="O5" s="3">
        <v>1</v>
      </c>
      <c r="P5" s="3">
        <v>1</v>
      </c>
    </row>
    <row r="6" spans="1:19" ht="23.25" customHeight="1">
      <c r="J6" s="10">
        <v>2</v>
      </c>
      <c r="K6" s="10">
        <v>2</v>
      </c>
      <c r="L6" s="10">
        <v>2</v>
      </c>
      <c r="M6" s="2">
        <v>0</v>
      </c>
      <c r="N6" s="3">
        <v>1</v>
      </c>
      <c r="O6" s="3">
        <v>1</v>
      </c>
      <c r="P6" s="3">
        <v>1</v>
      </c>
    </row>
    <row r="7" spans="1:19" ht="23.25" customHeight="1">
      <c r="J7" s="10">
        <v>2</v>
      </c>
      <c r="K7" s="10">
        <v>2</v>
      </c>
      <c r="L7" s="10">
        <v>2</v>
      </c>
      <c r="M7" s="2">
        <v>0</v>
      </c>
      <c r="N7" s="8">
        <v>5</v>
      </c>
      <c r="O7" s="8">
        <v>5</v>
      </c>
      <c r="P7" s="8">
        <v>5</v>
      </c>
    </row>
    <row r="8" spans="1:19" ht="23.25" customHeight="1">
      <c r="M8" s="2">
        <v>0</v>
      </c>
      <c r="N8" s="8">
        <v>5</v>
      </c>
      <c r="O8" s="8">
        <v>5</v>
      </c>
      <c r="P8" s="8">
        <v>5</v>
      </c>
    </row>
    <row r="9" spans="1:19" ht="23.25" customHeight="1">
      <c r="M9" s="2">
        <v>0</v>
      </c>
    </row>
    <row r="10" spans="1:19" ht="23.25" customHeight="1">
      <c r="B10" s="13">
        <v>6</v>
      </c>
      <c r="C10" s="13">
        <v>6</v>
      </c>
      <c r="D10" s="13">
        <v>6</v>
      </c>
      <c r="M10" s="2">
        <v>0</v>
      </c>
    </row>
    <row r="11" spans="1:19" ht="23.25" customHeight="1">
      <c r="B11" s="13">
        <v>6</v>
      </c>
      <c r="C11" s="13">
        <v>6</v>
      </c>
      <c r="D11" s="13">
        <v>6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</row>
    <row r="12" spans="1:19" ht="23.25" customHeight="1">
      <c r="B12" s="13">
        <v>6</v>
      </c>
      <c r="C12" s="13">
        <v>6</v>
      </c>
      <c r="D12" s="13">
        <v>6</v>
      </c>
      <c r="K12" s="12">
        <v>3</v>
      </c>
      <c r="L12" s="12">
        <v>3</v>
      </c>
      <c r="M12" s="2">
        <v>0</v>
      </c>
    </row>
    <row r="13" spans="1:19" ht="23.25" customHeight="1">
      <c r="K13" s="12">
        <v>3</v>
      </c>
      <c r="L13" s="12">
        <v>3</v>
      </c>
    </row>
    <row r="14" spans="1:19" ht="23.25" customHeight="1">
      <c r="K14" s="12">
        <v>3</v>
      </c>
      <c r="L14" s="12">
        <v>3</v>
      </c>
    </row>
    <row r="15" spans="1:19" ht="23.25" customHeight="1">
      <c r="K15" s="12">
        <v>3</v>
      </c>
      <c r="L15" s="12">
        <v>3</v>
      </c>
    </row>
    <row r="16" spans="1:19" s="4" customFormat="1" ht="23.25" customHeight="1">
      <c r="B16" s="15"/>
      <c r="C16" s="14"/>
      <c r="D16" s="14"/>
      <c r="E16" s="14"/>
      <c r="F16" s="14"/>
      <c r="G16" s="14"/>
      <c r="H16" s="14"/>
      <c r="I16" s="14"/>
      <c r="J16" s="15"/>
      <c r="K16" s="14"/>
      <c r="L16" s="14"/>
      <c r="M16" s="14"/>
      <c r="N16" s="14"/>
      <c r="O16" s="14"/>
      <c r="P16" s="17" t="s">
        <v>32</v>
      </c>
      <c r="R16" s="1"/>
      <c r="S16" s="4" t="s">
        <v>48</v>
      </c>
    </row>
    <row r="17" spans="1:27" s="25" customFormat="1" ht="23.25" customHeight="1">
      <c r="A17" s="32" t="s">
        <v>33</v>
      </c>
      <c r="B17" s="33"/>
      <c r="C17" s="34"/>
      <c r="D17" s="26" t="s">
        <v>34</v>
      </c>
      <c r="E17" s="26"/>
      <c r="F17" s="26"/>
      <c r="G17" s="26" t="s">
        <v>35</v>
      </c>
      <c r="H17" s="26"/>
      <c r="I17" s="26"/>
      <c r="J17" s="32" t="s">
        <v>50</v>
      </c>
      <c r="K17" s="33"/>
      <c r="L17" s="33"/>
      <c r="N17" s="26" t="s">
        <v>36</v>
      </c>
      <c r="O17" s="26"/>
      <c r="P17" s="27" t="s">
        <v>37</v>
      </c>
      <c r="R17" s="28"/>
      <c r="S17" s="25" t="s">
        <v>31</v>
      </c>
    </row>
    <row r="18" spans="1:27" ht="23.25" customHeight="1">
      <c r="A18" s="40">
        <f>background!B38</f>
        <v>102.71817073170733</v>
      </c>
      <c r="B18" s="40"/>
      <c r="C18" s="40"/>
      <c r="D18">
        <f>background!D38</f>
        <v>113.7</v>
      </c>
      <c r="G18" s="42">
        <f>background!G38</f>
        <v>216.41817073170733</v>
      </c>
      <c r="H18" s="42"/>
      <c r="J18" s="46">
        <f>background!K38</f>
        <v>1</v>
      </c>
      <c r="K18" s="46"/>
      <c r="L18" s="35"/>
      <c r="N18" s="30">
        <f>background!N38</f>
        <v>81</v>
      </c>
      <c r="O18" s="30"/>
      <c r="P18" s="16">
        <f>background!Q38</f>
        <v>82</v>
      </c>
      <c r="Q18" s="25"/>
    </row>
    <row r="19" spans="1:27" ht="23.25" customHeight="1">
      <c r="A19"/>
      <c r="Q19" s="25"/>
      <c r="S19" s="2">
        <v>0</v>
      </c>
      <c r="T19" t="s">
        <v>40</v>
      </c>
      <c r="W19" s="45" t="s">
        <v>47</v>
      </c>
      <c r="X19" s="45"/>
      <c r="Y19" s="45"/>
      <c r="Z19" s="45"/>
      <c r="AA19" s="45"/>
    </row>
    <row r="20" spans="1:27" ht="23.25" customHeight="1">
      <c r="A20" s="25"/>
      <c r="B20" s="31" t="s">
        <v>38</v>
      </c>
      <c r="C20" s="25"/>
      <c r="D20" s="25"/>
      <c r="E20" s="25"/>
      <c r="F20" s="25"/>
      <c r="G20" s="25"/>
      <c r="H20" s="25"/>
      <c r="I20" s="25"/>
      <c r="J20" s="44" t="s">
        <v>39</v>
      </c>
      <c r="K20" s="44"/>
      <c r="L20" s="44"/>
      <c r="M20" s="25"/>
      <c r="N20" s="25"/>
      <c r="O20" s="25"/>
      <c r="P20" s="25"/>
      <c r="Q20" s="25"/>
      <c r="S20" s="3">
        <v>1</v>
      </c>
      <c r="T20" t="s">
        <v>41</v>
      </c>
      <c r="W20" s="3">
        <v>1</v>
      </c>
      <c r="X20" t="s">
        <v>41</v>
      </c>
      <c r="Y20" s="2"/>
      <c r="Z20" s="41">
        <v>0.1</v>
      </c>
      <c r="AA20" s="41"/>
    </row>
    <row r="21" spans="1:27" ht="23.25" customHeight="1">
      <c r="A21"/>
      <c r="B21" s="39">
        <f>background!B41</f>
        <v>219</v>
      </c>
      <c r="C21" s="39"/>
      <c r="D21" s="39"/>
      <c r="E21" s="39"/>
      <c r="G21" s="22"/>
      <c r="H21" s="22"/>
      <c r="J21" s="43">
        <f>background!D41</f>
        <v>4176.4566950568751</v>
      </c>
      <c r="K21" s="43"/>
      <c r="L21" s="43"/>
      <c r="Q21" s="25"/>
      <c r="S21" s="10">
        <v>2</v>
      </c>
      <c r="T21" t="s">
        <v>42</v>
      </c>
      <c r="W21" s="10">
        <v>2</v>
      </c>
      <c r="X21" t="s">
        <v>42</v>
      </c>
      <c r="Y21" s="2"/>
      <c r="Z21" s="41">
        <v>0.14000000000000001</v>
      </c>
      <c r="AA21" s="41"/>
    </row>
    <row r="22" spans="1:27" ht="23.25" customHeight="1">
      <c r="A22"/>
      <c r="Q22" s="25"/>
      <c r="S22" s="12">
        <v>3</v>
      </c>
      <c r="T22" t="s">
        <v>43</v>
      </c>
      <c r="W22" s="12">
        <v>3</v>
      </c>
      <c r="X22" t="s">
        <v>43</v>
      </c>
      <c r="Y22" s="2"/>
      <c r="Z22" s="41">
        <v>0.2</v>
      </c>
      <c r="AA22" s="41"/>
    </row>
    <row r="23" spans="1:27" ht="23.25" customHeight="1">
      <c r="A23"/>
      <c r="Q23" s="25"/>
      <c r="S23" s="9">
        <v>4</v>
      </c>
      <c r="T23" t="s">
        <v>44</v>
      </c>
      <c r="W23" s="9">
        <v>4</v>
      </c>
      <c r="X23" t="s">
        <v>44</v>
      </c>
      <c r="Y23" s="2"/>
      <c r="Z23" s="41">
        <v>0.1</v>
      </c>
      <c r="AA23" s="41"/>
    </row>
    <row r="24" spans="1:27" ht="23.25" customHeight="1">
      <c r="A24"/>
      <c r="Q24" s="25"/>
      <c r="S24" s="8">
        <v>5</v>
      </c>
      <c r="T24" t="s">
        <v>45</v>
      </c>
    </row>
    <row r="25" spans="1:27" ht="23.25" customHeight="1">
      <c r="A25"/>
      <c r="Q25" s="25"/>
      <c r="S25" s="13">
        <v>6</v>
      </c>
      <c r="T25" t="s">
        <v>46</v>
      </c>
      <c r="W25" s="2"/>
    </row>
    <row r="26" spans="1:27" ht="15" customHeight="1">
      <c r="A26"/>
      <c r="Q26" s="25"/>
      <c r="S26" s="2">
        <v>7</v>
      </c>
      <c r="W26" s="2"/>
    </row>
    <row r="27" spans="1:27" ht="15" customHeight="1">
      <c r="A27"/>
      <c r="Q27" s="25"/>
      <c r="S27" s="2">
        <v>8</v>
      </c>
      <c r="W27" s="2"/>
    </row>
    <row r="28" spans="1:27" ht="15" customHeight="1">
      <c r="A28"/>
      <c r="Q28" s="25"/>
      <c r="S28"/>
      <c r="W28" s="2"/>
    </row>
    <row r="29" spans="1:27" ht="15" customHeight="1">
      <c r="A29"/>
      <c r="Q29" s="25"/>
    </row>
    <row r="30" spans="1:27" ht="15" customHeight="1">
      <c r="A30"/>
      <c r="Q30" s="25"/>
    </row>
    <row r="31" spans="1:27" ht="15" customHeight="1">
      <c r="A31"/>
      <c r="Q31" s="25"/>
    </row>
    <row r="32" spans="1:27" ht="15" customHeight="1">
      <c r="A32"/>
      <c r="Q32" s="25"/>
    </row>
    <row r="33" spans="1:17" ht="15" customHeight="1">
      <c r="A33"/>
      <c r="Q33" s="25"/>
    </row>
    <row r="34" spans="1:17" ht="15" customHeight="1">
      <c r="A34"/>
      <c r="Q34" s="25"/>
    </row>
    <row r="35" spans="1:17" ht="15" customHeight="1">
      <c r="A35"/>
      <c r="Q35" s="25"/>
    </row>
    <row r="36" spans="1:17" ht="15" customHeight="1">
      <c r="A36"/>
      <c r="Q36" s="25"/>
    </row>
    <row r="37" spans="1:17" ht="15" customHeight="1">
      <c r="A37"/>
      <c r="Q37" s="25"/>
    </row>
    <row r="38" spans="1:17" ht="15" customHeight="1">
      <c r="A38"/>
      <c r="Q38" s="25"/>
    </row>
    <row r="39" spans="1:17" ht="15" customHeight="1">
      <c r="A39"/>
      <c r="Q39" s="25"/>
    </row>
    <row r="40" spans="1:17" ht="15" customHeight="1">
      <c r="A40"/>
      <c r="Q40" s="25"/>
    </row>
    <row r="41" spans="1:17" ht="15" customHeight="1">
      <c r="A41"/>
      <c r="Q41" s="25"/>
    </row>
    <row r="42" spans="1:17" ht="15" customHeight="1">
      <c r="A42"/>
      <c r="Q42" s="25"/>
    </row>
    <row r="43" spans="1:17" ht="15" customHeight="1">
      <c r="A43"/>
      <c r="Q43" s="25"/>
    </row>
    <row r="44" spans="1:17" ht="15" customHeight="1">
      <c r="A44"/>
      <c r="Q44" s="25"/>
    </row>
    <row r="45" spans="1:17" ht="15" customHeight="1">
      <c r="A45"/>
      <c r="Q45" s="25"/>
    </row>
    <row r="46" spans="1:17" ht="15" customHeight="1">
      <c r="A46"/>
      <c r="Q46" s="25"/>
    </row>
    <row r="47" spans="1:17" ht="15" customHeight="1">
      <c r="A47"/>
      <c r="Q47" s="25"/>
    </row>
    <row r="48" spans="1:17" ht="15" customHeight="1">
      <c r="A48"/>
      <c r="Q48" s="25"/>
    </row>
    <row r="49" spans="1:17" ht="15" customHeight="1">
      <c r="A49"/>
      <c r="Q49" s="25"/>
    </row>
    <row r="50" spans="1:17" ht="15" customHeight="1">
      <c r="A50"/>
      <c r="Q50" s="25"/>
    </row>
    <row r="51" spans="1:17" ht="15" customHeight="1">
      <c r="A51"/>
      <c r="Q51" s="25"/>
    </row>
    <row r="52" spans="1:17" ht="15" customHeight="1">
      <c r="A52"/>
      <c r="Q52" s="25"/>
    </row>
    <row r="53" spans="1:17" ht="15" customHeight="1">
      <c r="A53"/>
      <c r="Q53" s="25"/>
    </row>
    <row r="54" spans="1:17" ht="15" customHeight="1">
      <c r="A54"/>
      <c r="Q54" s="25"/>
    </row>
    <row r="55" spans="1:17" ht="15" customHeight="1">
      <c r="A55"/>
      <c r="Q55" s="25"/>
    </row>
    <row r="56" spans="1:17" ht="15" customHeight="1">
      <c r="A56"/>
      <c r="Q56" s="25"/>
    </row>
    <row r="57" spans="1:17" ht="15" customHeight="1">
      <c r="A57"/>
      <c r="Q57" s="25"/>
    </row>
    <row r="58" spans="1:17" ht="15" customHeight="1">
      <c r="A58"/>
      <c r="Q58" s="25"/>
    </row>
    <row r="59" spans="1:17" ht="15" customHeight="1">
      <c r="A59"/>
      <c r="Q59" s="25"/>
    </row>
    <row r="60" spans="1:17" ht="15" customHeight="1">
      <c r="A60"/>
      <c r="Q60" s="25"/>
    </row>
    <row r="61" spans="1:17" ht="15" customHeight="1">
      <c r="A61"/>
      <c r="Q61" s="25"/>
    </row>
    <row r="62" spans="1:17" ht="15" customHeight="1">
      <c r="A62"/>
      <c r="Q62" s="25"/>
    </row>
    <row r="63" spans="1:17" ht="15" customHeight="1">
      <c r="A63"/>
      <c r="Q63" s="25"/>
    </row>
    <row r="64" spans="1:17" ht="15" customHeight="1">
      <c r="A64"/>
      <c r="Q64" s="25"/>
    </row>
    <row r="65" spans="1:17" ht="15" customHeight="1">
      <c r="A65"/>
      <c r="Q65" s="25"/>
    </row>
    <row r="66" spans="1:17" ht="15" customHeight="1">
      <c r="A66"/>
      <c r="Q66" s="25"/>
    </row>
    <row r="67" spans="1:17" ht="15" customHeight="1">
      <c r="A67"/>
      <c r="Q67" s="25"/>
    </row>
    <row r="68" spans="1:17" ht="15" customHeight="1">
      <c r="A68"/>
      <c r="Q68" s="25"/>
    </row>
    <row r="69" spans="1:17" ht="15" customHeight="1">
      <c r="A69"/>
      <c r="Q69" s="25"/>
    </row>
    <row r="70" spans="1:17" ht="15" customHeight="1">
      <c r="A70"/>
      <c r="Q70" s="25"/>
    </row>
    <row r="71" spans="1:17" ht="15" customHeight="1">
      <c r="A71"/>
      <c r="Q71" s="25"/>
    </row>
    <row r="72" spans="1:17" ht="15" customHeight="1">
      <c r="A72"/>
      <c r="Q72" s="25"/>
    </row>
    <row r="73" spans="1:17" ht="15" customHeight="1">
      <c r="A73"/>
      <c r="Q73" s="25"/>
    </row>
    <row r="74" spans="1:17" ht="15" customHeight="1">
      <c r="A74"/>
      <c r="Q74"/>
    </row>
    <row r="75" spans="1:17" ht="15" customHeight="1">
      <c r="A75"/>
      <c r="Q75"/>
    </row>
    <row r="76" spans="1:17" ht="15" customHeight="1">
      <c r="A76"/>
      <c r="Q76"/>
    </row>
    <row r="77" spans="1:17" ht="15" customHeight="1">
      <c r="A77"/>
      <c r="Q77"/>
    </row>
    <row r="78" spans="1:17" ht="15" customHeight="1">
      <c r="A78"/>
      <c r="Q78"/>
    </row>
    <row r="79" spans="1:17" ht="15" customHeight="1">
      <c r="A79"/>
    </row>
    <row r="80" spans="1:17" ht="15" customHeight="1">
      <c r="A80"/>
    </row>
    <row r="81" spans="1:1" ht="15" customHeight="1">
      <c r="A81"/>
    </row>
    <row r="82" spans="1:1" ht="15" customHeight="1">
      <c r="A82"/>
    </row>
    <row r="83" spans="1:1" ht="15" customHeight="1">
      <c r="A83"/>
    </row>
  </sheetData>
  <mergeCells count="11">
    <mergeCell ref="B21:E21"/>
    <mergeCell ref="A18:C18"/>
    <mergeCell ref="Z23:AA23"/>
    <mergeCell ref="G18:H18"/>
    <mergeCell ref="J21:L21"/>
    <mergeCell ref="J20:L20"/>
    <mergeCell ref="W19:AA19"/>
    <mergeCell ref="Z20:AA20"/>
    <mergeCell ref="Z21:AA21"/>
    <mergeCell ref="Z22:AA22"/>
    <mergeCell ref="J18:K1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eet2.pass_day">
                <anchor moveWithCells="1" sizeWithCells="1">
                  <from>
                    <xdr:col>25</xdr:col>
                    <xdr:colOff>619125</xdr:colOff>
                    <xdr:row>24</xdr:row>
                    <xdr:rowOff>276225</xdr:rowOff>
                  </from>
                  <to>
                    <xdr:col>27</xdr:col>
                    <xdr:colOff>257175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eet2.change_tile">
                <anchor moveWithCells="1" sizeWithCells="1">
                  <from>
                    <xdr:col>21</xdr:col>
                    <xdr:colOff>323850</xdr:colOff>
                    <xdr:row>25</xdr:row>
                    <xdr:rowOff>0</xdr:rowOff>
                  </from>
                  <to>
                    <xdr:col>25</xdr:col>
                    <xdr:colOff>142875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Q41"/>
  <sheetViews>
    <sheetView tabSelected="1" zoomScaleNormal="100" workbookViewId="0">
      <selection activeCell="N29" sqref="N29"/>
    </sheetView>
  </sheetViews>
  <sheetFormatPr defaultRowHeight="14.25"/>
  <cols>
    <col min="9" max="9" width="15.75" customWidth="1"/>
  </cols>
  <sheetData>
    <row r="2" spans="2:15">
      <c r="B2" s="50" t="s">
        <v>0</v>
      </c>
      <c r="C2" s="50"/>
      <c r="D2" t="s">
        <v>1</v>
      </c>
      <c r="E2" t="s">
        <v>2</v>
      </c>
      <c r="F2" t="s">
        <v>11</v>
      </c>
      <c r="G2" t="s">
        <v>16</v>
      </c>
      <c r="H2" t="s">
        <v>5</v>
      </c>
      <c r="J2" t="s">
        <v>3</v>
      </c>
      <c r="K2" t="s">
        <v>15</v>
      </c>
      <c r="L2" t="s">
        <v>4</v>
      </c>
      <c r="N2" t="s">
        <v>24</v>
      </c>
      <c r="O2" t="s">
        <v>55</v>
      </c>
    </row>
    <row r="3" spans="2:15">
      <c r="B3" s="2">
        <v>0</v>
      </c>
      <c r="C3" t="s">
        <v>40</v>
      </c>
      <c r="D3">
        <f>COUNTIF(main!$B$2:$P$15,"="&amp;--B3&amp;"")</f>
        <v>19</v>
      </c>
      <c r="E3" s="5">
        <v>0.3</v>
      </c>
      <c r="F3" s="5">
        <v>0.1</v>
      </c>
      <c r="G3">
        <f t="shared" ref="G3:G11" si="0">F3*D3</f>
        <v>1.9000000000000001</v>
      </c>
      <c r="H3" s="6"/>
      <c r="I3" s="6"/>
      <c r="J3" s="7"/>
      <c r="K3">
        <f t="shared" ref="K3" si="1">(1-MAX(0,($K$38/$Q$38)))*MIN(1,(1-($H$20/($H$20+$D$9))))*D3*H3*J3</f>
        <v>0</v>
      </c>
      <c r="L3">
        <f t="shared" ref="L3:L11" si="2">K3*J3*D3</f>
        <v>0</v>
      </c>
      <c r="N3" s="5">
        <v>2</v>
      </c>
    </row>
    <row r="4" spans="2:15">
      <c r="B4" s="3">
        <v>1</v>
      </c>
      <c r="C4" t="s">
        <v>41</v>
      </c>
      <c r="D4">
        <f>COUNTIF(main!$B$2:$P$15,"="&amp;--B4&amp;"")</f>
        <v>27</v>
      </c>
      <c r="E4" s="5"/>
      <c r="F4" s="5"/>
      <c r="G4">
        <f t="shared" si="0"/>
        <v>0</v>
      </c>
      <c r="H4" s="6">
        <v>1</v>
      </c>
      <c r="I4" s="6"/>
      <c r="J4" s="7">
        <f>main!Z20</f>
        <v>0.1</v>
      </c>
      <c r="K4">
        <f>(1-MAX(0,($K$38/$Q$38)))*MIN(1,(1-($H$20/($H$20+$D$9))))*D4*H4*J4</f>
        <v>2.6670731707317077</v>
      </c>
      <c r="L4">
        <f t="shared" si="2"/>
        <v>7.2010975609756116</v>
      </c>
      <c r="N4" s="5">
        <v>5</v>
      </c>
    </row>
    <row r="5" spans="2:15">
      <c r="B5" s="10">
        <v>2</v>
      </c>
      <c r="C5" t="s">
        <v>42</v>
      </c>
      <c r="D5">
        <f>COUNTIF(main!$B$2:$P$15,"="&amp;--B5&amp;"")</f>
        <v>6</v>
      </c>
      <c r="E5" s="5"/>
      <c r="F5" s="5">
        <v>2</v>
      </c>
      <c r="G5">
        <f t="shared" si="0"/>
        <v>12</v>
      </c>
      <c r="H5" s="6">
        <v>15</v>
      </c>
      <c r="I5" s="6"/>
      <c r="J5" s="7">
        <v>0.5</v>
      </c>
      <c r="K5">
        <f t="shared" ref="K5:K11" si="3">(1-MAX(0,($K$38/$Q$38)))*MIN(1,(1-($H$20/($H$20+$D$9))))*D5*H5*J5</f>
        <v>44.451219512195124</v>
      </c>
      <c r="L5">
        <f t="shared" si="2"/>
        <v>133.35365853658539</v>
      </c>
      <c r="N5" s="5">
        <v>7</v>
      </c>
      <c r="O5">
        <v>-5</v>
      </c>
    </row>
    <row r="6" spans="2:15">
      <c r="B6" s="12">
        <v>3</v>
      </c>
      <c r="C6" t="s">
        <v>43</v>
      </c>
      <c r="D6">
        <f>COUNTIF(main!$B$2:$P$15,"="&amp;--B6&amp;"")</f>
        <v>8</v>
      </c>
      <c r="E6" s="5"/>
      <c r="F6" s="5">
        <v>5</v>
      </c>
      <c r="G6">
        <f t="shared" si="0"/>
        <v>40</v>
      </c>
      <c r="H6" s="6">
        <v>30</v>
      </c>
      <c r="I6" s="6"/>
      <c r="J6" s="7">
        <f>main!Z22</f>
        <v>0.2</v>
      </c>
      <c r="K6">
        <f t="shared" si="3"/>
        <v>47.414634146341463</v>
      </c>
      <c r="L6">
        <f t="shared" si="2"/>
        <v>75.863414634146338</v>
      </c>
      <c r="N6" s="5">
        <v>15</v>
      </c>
      <c r="O6">
        <v>3</v>
      </c>
    </row>
    <row r="7" spans="2:15">
      <c r="B7" s="9">
        <v>4</v>
      </c>
      <c r="C7" t="s">
        <v>44</v>
      </c>
      <c r="D7">
        <f>COUNTIF(main!$B$2:$P$15,"="&amp;--B7&amp;"")</f>
        <v>0</v>
      </c>
      <c r="E7" s="5"/>
      <c r="F7" s="5">
        <v>0.2</v>
      </c>
      <c r="G7">
        <f t="shared" si="0"/>
        <v>0</v>
      </c>
      <c r="H7" s="6">
        <v>4</v>
      </c>
      <c r="I7" s="6"/>
      <c r="J7" s="7">
        <f>main!Z23</f>
        <v>0.1</v>
      </c>
      <c r="K7">
        <f t="shared" si="3"/>
        <v>0</v>
      </c>
      <c r="L7">
        <f t="shared" si="2"/>
        <v>0</v>
      </c>
      <c r="N7" s="5">
        <v>1</v>
      </c>
    </row>
    <row r="8" spans="2:15">
      <c r="B8" s="8">
        <v>5</v>
      </c>
      <c r="C8" t="s">
        <v>45</v>
      </c>
      <c r="D8">
        <f>COUNTIF(main!$B$2:$P$15,"="&amp;--B8&amp;"")</f>
        <v>6</v>
      </c>
      <c r="E8" s="5">
        <v>3</v>
      </c>
      <c r="F8" s="5">
        <v>0.1</v>
      </c>
      <c r="G8">
        <f t="shared" si="0"/>
        <v>0.60000000000000009</v>
      </c>
      <c r="H8" s="6"/>
      <c r="I8" s="6"/>
      <c r="J8" s="7"/>
      <c r="K8">
        <f t="shared" si="3"/>
        <v>0</v>
      </c>
      <c r="L8">
        <f t="shared" si="2"/>
        <v>0</v>
      </c>
      <c r="N8" s="5">
        <v>3</v>
      </c>
    </row>
    <row r="9" spans="2:15">
      <c r="B9" s="13">
        <v>6</v>
      </c>
      <c r="C9" t="s">
        <v>46</v>
      </c>
      <c r="D9">
        <f>COUNTIF(main!$B$2:$P$15,"="&amp;--B9&amp;"")</f>
        <v>9</v>
      </c>
      <c r="E9" s="5">
        <v>10</v>
      </c>
      <c r="F9" s="5">
        <v>3</v>
      </c>
      <c r="G9">
        <f t="shared" si="0"/>
        <v>27</v>
      </c>
      <c r="H9" s="6"/>
      <c r="I9" s="6"/>
      <c r="J9" s="7"/>
      <c r="K9">
        <f t="shared" si="3"/>
        <v>0</v>
      </c>
      <c r="L9">
        <f t="shared" si="2"/>
        <v>0</v>
      </c>
      <c r="N9" s="5">
        <v>8</v>
      </c>
    </row>
    <row r="10" spans="2:15">
      <c r="B10" s="2">
        <v>7</v>
      </c>
      <c r="D10">
        <f>COUNTIF(main!$B$2:$P$15,"="&amp;--B10&amp;"")</f>
        <v>0</v>
      </c>
      <c r="E10" s="5"/>
      <c r="F10" s="5"/>
      <c r="G10">
        <f t="shared" si="0"/>
        <v>0</v>
      </c>
      <c r="H10" s="6"/>
      <c r="I10" s="6"/>
      <c r="J10" s="7"/>
      <c r="K10">
        <f t="shared" si="3"/>
        <v>0</v>
      </c>
      <c r="L10">
        <f t="shared" si="2"/>
        <v>0</v>
      </c>
      <c r="N10" s="5"/>
    </row>
    <row r="11" spans="2:15">
      <c r="B11" s="2">
        <v>8</v>
      </c>
      <c r="D11">
        <f>COUNTIF(main!$B$2:$P$15,"="&amp;--B11&amp;"")</f>
        <v>0</v>
      </c>
      <c r="E11" s="5"/>
      <c r="F11" s="5"/>
      <c r="G11">
        <f t="shared" si="0"/>
        <v>0</v>
      </c>
      <c r="H11" s="6"/>
      <c r="I11" s="6"/>
      <c r="J11" s="7"/>
      <c r="K11">
        <f t="shared" si="3"/>
        <v>0</v>
      </c>
      <c r="L11">
        <f t="shared" si="2"/>
        <v>0</v>
      </c>
      <c r="N11" s="5"/>
    </row>
    <row r="12" spans="2:15">
      <c r="B12" s="2"/>
    </row>
    <row r="13" spans="2:15">
      <c r="B13" s="2"/>
      <c r="D13" t="s">
        <v>10</v>
      </c>
      <c r="E13" t="s">
        <v>19</v>
      </c>
      <c r="F13" t="s">
        <v>51</v>
      </c>
      <c r="G13" s="36" t="s">
        <v>20</v>
      </c>
      <c r="H13" t="s">
        <v>13</v>
      </c>
      <c r="I13" t="s">
        <v>52</v>
      </c>
      <c r="J13" t="s">
        <v>25</v>
      </c>
      <c r="K13" t="s">
        <v>26</v>
      </c>
      <c r="L13" t="s">
        <v>30</v>
      </c>
      <c r="N13" t="s">
        <v>57</v>
      </c>
    </row>
    <row r="14" spans="2:15">
      <c r="B14" s="2">
        <v>0</v>
      </c>
      <c r="C14" t="s">
        <v>40</v>
      </c>
      <c r="D14" s="6"/>
      <c r="E14" s="6"/>
      <c r="F14" s="5"/>
      <c r="G14" s="36"/>
      <c r="H14" s="51" t="s">
        <v>14</v>
      </c>
      <c r="I14" s="51"/>
      <c r="J14" s="6"/>
      <c r="K14" s="6">
        <v>0.1</v>
      </c>
      <c r="L14">
        <f>(D3/N38-1)*K14</f>
        <v>-7.6543209876543228E-2</v>
      </c>
    </row>
    <row r="15" spans="2:15">
      <c r="B15" s="3">
        <v>1</v>
      </c>
      <c r="C15" t="s">
        <v>41</v>
      </c>
      <c r="D15" s="6">
        <v>3</v>
      </c>
      <c r="E15" s="6">
        <v>0.1</v>
      </c>
      <c r="F15" s="5"/>
      <c r="G15" s="36"/>
      <c r="H15" s="20">
        <f>K38/D15</f>
        <v>0.33333333333333331</v>
      </c>
      <c r="I15" s="20">
        <f>H15*(2.05*J4*J4-3.55*J4+1.5)</f>
        <v>0.38849999999999996</v>
      </c>
      <c r="J15" s="6"/>
      <c r="K15" s="6"/>
      <c r="N15" s="37" t="s">
        <v>54</v>
      </c>
    </row>
    <row r="16" spans="2:15">
      <c r="B16" s="10">
        <v>2</v>
      </c>
      <c r="C16" t="s">
        <v>42</v>
      </c>
      <c r="D16" s="6"/>
      <c r="E16" s="6">
        <v>0.2</v>
      </c>
      <c r="F16" s="5">
        <f>1/10</f>
        <v>0.1</v>
      </c>
      <c r="G16" s="36">
        <v>0.3</v>
      </c>
      <c r="H16" s="20">
        <f>F16*N38-D5</f>
        <v>2.0999999999999996</v>
      </c>
      <c r="I16" s="20">
        <f t="shared" ref="I16:I19" si="4">H16*(2.05*J5*J5-3.55*J5+1.5)</f>
        <v>0.49875000000000003</v>
      </c>
      <c r="J16" s="6">
        <v>0.1</v>
      </c>
      <c r="K16" s="6"/>
      <c r="L16">
        <f>-H16*J16</f>
        <v>-0.20999999999999996</v>
      </c>
      <c r="N16" s="37" t="s">
        <v>53</v>
      </c>
    </row>
    <row r="17" spans="2:15">
      <c r="B17" s="12">
        <v>3</v>
      </c>
      <c r="C17" t="s">
        <v>43</v>
      </c>
      <c r="D17" s="6"/>
      <c r="E17" s="6">
        <v>0.5</v>
      </c>
      <c r="F17" s="5"/>
      <c r="G17" s="36">
        <v>0.5</v>
      </c>
      <c r="H17" s="20">
        <f>-(O5*D5+O6*D6)/O6</f>
        <v>2</v>
      </c>
      <c r="I17" s="20">
        <f t="shared" si="4"/>
        <v>1.744</v>
      </c>
      <c r="J17" s="6">
        <v>-0.2</v>
      </c>
      <c r="K17" s="6"/>
      <c r="L17">
        <f>J17*D6</f>
        <v>-1.6</v>
      </c>
      <c r="N17" s="37" t="s">
        <v>56</v>
      </c>
    </row>
    <row r="18" spans="2:15">
      <c r="B18" s="9">
        <v>4</v>
      </c>
      <c r="C18" t="s">
        <v>44</v>
      </c>
      <c r="D18" s="6"/>
      <c r="E18" s="6">
        <f>1/50</f>
        <v>0.02</v>
      </c>
      <c r="F18" s="5">
        <v>0</v>
      </c>
      <c r="G18" s="36">
        <v>0.1</v>
      </c>
      <c r="H18" s="20">
        <f>K38*G18/F7</f>
        <v>0.5</v>
      </c>
      <c r="I18" s="20">
        <f t="shared" si="4"/>
        <v>0.58274999999999999</v>
      </c>
      <c r="J18" s="6"/>
      <c r="K18" s="6"/>
      <c r="L18">
        <f>J18*D7</f>
        <v>0</v>
      </c>
    </row>
    <row r="19" spans="2:15">
      <c r="B19" s="8">
        <v>5</v>
      </c>
      <c r="C19" t="s">
        <v>45</v>
      </c>
      <c r="D19" s="6"/>
      <c r="E19" s="6">
        <v>3.5000000000000003E-2</v>
      </c>
      <c r="F19" s="5">
        <f>1/15</f>
        <v>6.6666666666666666E-2</v>
      </c>
      <c r="G19" s="36">
        <v>0.01</v>
      </c>
      <c r="H19" s="20">
        <f>MAX(0,N38*F19-D8+K38*G19/F8)</f>
        <v>0</v>
      </c>
      <c r="I19" s="20">
        <f t="shared" si="4"/>
        <v>0</v>
      </c>
      <c r="J19" s="6">
        <v>1</v>
      </c>
      <c r="K19" s="6"/>
      <c r="L19">
        <f>J19*D8</f>
        <v>6</v>
      </c>
    </row>
    <row r="20" spans="2:15">
      <c r="B20" s="13">
        <v>6</v>
      </c>
      <c r="C20" t="s">
        <v>46</v>
      </c>
      <c r="D20" s="6"/>
      <c r="E20" s="6"/>
      <c r="F20" s="5"/>
      <c r="G20" s="36"/>
      <c r="H20" s="20">
        <f>SUMPRODUCT(D3:D11,E14:E22)-D9</f>
        <v>-0.88999999999999879</v>
      </c>
      <c r="I20" s="20">
        <f>H20</f>
        <v>-0.88999999999999879</v>
      </c>
      <c r="J20" s="6"/>
      <c r="K20" s="6">
        <v>0.1</v>
      </c>
      <c r="L20">
        <f>K20*(-H20)</f>
        <v>8.8999999999999885E-2</v>
      </c>
    </row>
    <row r="21" spans="2:15">
      <c r="B21" s="2">
        <v>7</v>
      </c>
      <c r="D21" s="6"/>
      <c r="E21" s="6"/>
      <c r="F21" s="5"/>
      <c r="G21" s="36"/>
      <c r="H21" s="20"/>
      <c r="I21" s="20"/>
      <c r="J21" s="6"/>
      <c r="K21" s="6"/>
    </row>
    <row r="22" spans="2:15">
      <c r="B22" s="2">
        <v>8</v>
      </c>
      <c r="D22" s="6"/>
      <c r="E22" s="6"/>
      <c r="F22" s="5"/>
      <c r="G22" s="36"/>
      <c r="H22" s="20"/>
      <c r="I22" s="20"/>
      <c r="J22" s="6"/>
      <c r="K22" s="6"/>
    </row>
    <row r="23" spans="2:15">
      <c r="B23" s="2"/>
      <c r="G23" s="36">
        <f>SUM(G14:G22)</f>
        <v>0.91</v>
      </c>
      <c r="K23" t="s">
        <v>29</v>
      </c>
      <c r="L23" t="s">
        <v>6</v>
      </c>
      <c r="N23" s="38" t="s">
        <v>58</v>
      </c>
      <c r="O23" s="38"/>
    </row>
    <row r="24" spans="2:15">
      <c r="B24" s="2"/>
      <c r="K24" s="5">
        <f>ROUND(IF(K38&lt;0,K38/4,L24*2),0)</f>
        <v>8</v>
      </c>
      <c r="L24">
        <f>MAX(0,SUM(L14:L22))</f>
        <v>4.2024567901234562</v>
      </c>
      <c r="N24" t="s">
        <v>61</v>
      </c>
    </row>
    <row r="25" spans="2:15">
      <c r="B25" s="19" t="s">
        <v>23</v>
      </c>
      <c r="C25" s="19"/>
      <c r="D25" s="19"/>
      <c r="E25" s="19"/>
      <c r="N25" t="s">
        <v>59</v>
      </c>
    </row>
    <row r="26" spans="2:15">
      <c r="B26" s="19"/>
      <c r="C26" s="19" t="s">
        <v>28</v>
      </c>
      <c r="D26" s="19" t="s">
        <v>27</v>
      </c>
      <c r="E26" s="19"/>
      <c r="N26" t="s">
        <v>60</v>
      </c>
    </row>
    <row r="27" spans="2:15">
      <c r="B27" s="19"/>
      <c r="C27" s="21">
        <v>113.7</v>
      </c>
      <c r="D27" s="21">
        <v>1</v>
      </c>
      <c r="E27" s="19"/>
    </row>
    <row r="28" spans="2:15">
      <c r="B28" s="11"/>
      <c r="C28" s="19"/>
      <c r="D28" s="19"/>
      <c r="E28" s="19"/>
      <c r="N28" t="s">
        <v>62</v>
      </c>
    </row>
    <row r="29" spans="2:15">
      <c r="B29" s="11"/>
      <c r="C29" s="19"/>
      <c r="D29" s="19"/>
      <c r="E29" s="19"/>
    </row>
    <row r="30" spans="2:15">
      <c r="B30" s="2"/>
    </row>
    <row r="31" spans="2:15">
      <c r="B31" s="2"/>
    </row>
    <row r="32" spans="2:15">
      <c r="B32" s="2"/>
    </row>
    <row r="33" spans="2:17">
      <c r="B33" s="24"/>
    </row>
    <row r="37" spans="2:17">
      <c r="B37" s="15" t="s">
        <v>8</v>
      </c>
      <c r="C37" s="14"/>
      <c r="D37" s="14" t="s">
        <v>9</v>
      </c>
      <c r="E37" s="14"/>
      <c r="F37" s="14"/>
      <c r="G37" s="14" t="s">
        <v>7</v>
      </c>
      <c r="H37" s="14"/>
      <c r="I37" s="14"/>
      <c r="J37" s="14"/>
      <c r="K37" s="15" t="s">
        <v>12</v>
      </c>
      <c r="L37" s="14"/>
      <c r="M37" s="14"/>
      <c r="N37" s="14" t="s">
        <v>17</v>
      </c>
      <c r="O37" s="14"/>
      <c r="P37" s="14"/>
      <c r="Q37" s="17" t="s">
        <v>18</v>
      </c>
    </row>
    <row r="38" spans="2:17" ht="15.75">
      <c r="B38" s="47">
        <f>G38-D38</f>
        <v>102.71817073170733</v>
      </c>
      <c r="C38" s="47"/>
      <c r="D38">
        <f>SUMPRODUCT(background!D3:D11,background!E3:E11)</f>
        <v>113.7</v>
      </c>
      <c r="E38" s="2"/>
      <c r="F38" s="2"/>
      <c r="G38" s="42">
        <f>SUM(background!L3:L11)</f>
        <v>216.41817073170733</v>
      </c>
      <c r="H38" s="42"/>
      <c r="I38" s="29"/>
      <c r="J38" s="2"/>
      <c r="K38" s="18">
        <f>Q38-N38</f>
        <v>1</v>
      </c>
      <c r="L38" s="2"/>
      <c r="M38" s="2"/>
      <c r="N38">
        <v>81</v>
      </c>
      <c r="O38" s="2"/>
      <c r="P38" s="2"/>
      <c r="Q38" s="16">
        <f>ROUND(SUM(background!G3:G11),0)</f>
        <v>82</v>
      </c>
    </row>
    <row r="39" spans="2:17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2:17">
      <c r="B40" s="23" t="s">
        <v>21</v>
      </c>
      <c r="C40" s="2"/>
      <c r="D40" s="48" t="s">
        <v>22</v>
      </c>
      <c r="E40" s="48"/>
      <c r="F40" s="48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2:17">
      <c r="B41" s="23">
        <v>219</v>
      </c>
      <c r="C41" s="2"/>
      <c r="D41" s="49">
        <v>4176.4566950568751</v>
      </c>
      <c r="E41" s="49"/>
      <c r="F41" s="49"/>
      <c r="G41" s="22"/>
      <c r="H41" s="22"/>
      <c r="I41" s="22"/>
      <c r="J41" s="2"/>
      <c r="K41" s="2"/>
      <c r="L41" s="2"/>
      <c r="M41" s="2"/>
      <c r="N41" s="2"/>
      <c r="O41" s="2"/>
      <c r="P41" s="2"/>
      <c r="Q41" s="2"/>
    </row>
  </sheetData>
  <mergeCells count="6">
    <mergeCell ref="B38:C38"/>
    <mergeCell ref="G38:H38"/>
    <mergeCell ref="D40:F40"/>
    <mergeCell ref="D41:F41"/>
    <mergeCell ref="B2:C2"/>
    <mergeCell ref="H14:I1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main</vt:lpstr>
      <vt:lpstr>background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simcity</dc:title>
  <dc:creator/>
  <cp:keywords>demo</cp:keywords>
  <cp:lastModifiedBy/>
  <dcterms:created xsi:type="dcterms:W3CDTF">2015-06-05T18:19:34Z</dcterms:created>
  <dcterms:modified xsi:type="dcterms:W3CDTF">2016-03-02T11:34:50Z</dcterms:modified>
  <cp:category>demo</cp:category>
</cp:coreProperties>
</file>