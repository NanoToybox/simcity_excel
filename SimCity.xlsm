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Documents\文档\今日之日多须臾\simcity\"/>
    </mc:Choice>
  </mc:AlternateContent>
  <bookViews>
    <workbookView xWindow="11160" yWindow="0" windowWidth="22260" windowHeight="12645"/>
  </bookViews>
  <sheets>
    <sheet name="main" sheetId="1" r:id="rId1"/>
    <sheet name="raw data" sheetId="3" r:id="rId2"/>
    <sheet name="balance" sheetId="4" r:id="rId3"/>
    <sheet name="TODO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3" l="1"/>
  <c r="I20" i="3"/>
  <c r="J7" i="3"/>
  <c r="J6" i="3"/>
  <c r="J5" i="3"/>
  <c r="J4" i="3"/>
  <c r="V19" i="3"/>
  <c r="U19" i="3"/>
  <c r="U17" i="3"/>
  <c r="M11" i="4"/>
  <c r="O11" i="4"/>
  <c r="J5" i="4"/>
  <c r="H11" i="3" l="1"/>
  <c r="H10" i="3"/>
  <c r="H9" i="3"/>
  <c r="H8" i="3"/>
  <c r="H7" i="3"/>
  <c r="H6" i="3"/>
  <c r="H5" i="3"/>
  <c r="H4" i="3"/>
  <c r="H3" i="3"/>
  <c r="I5" i="4" l="1"/>
  <c r="I10" i="4"/>
  <c r="I9" i="4"/>
  <c r="I7" i="4"/>
  <c r="I6" i="4"/>
  <c r="I4" i="4"/>
  <c r="I3" i="4"/>
  <c r="I2" i="4"/>
  <c r="E11" i="3"/>
  <c r="E10" i="3"/>
  <c r="E9" i="3"/>
  <c r="E8" i="3"/>
  <c r="E7" i="3"/>
  <c r="E6" i="3"/>
  <c r="E5" i="3"/>
  <c r="E4" i="3"/>
  <c r="E3" i="3"/>
  <c r="N11" i="3"/>
  <c r="N10" i="3"/>
  <c r="N9" i="3"/>
  <c r="N8" i="3"/>
  <c r="N7" i="3"/>
  <c r="N6" i="3"/>
  <c r="N5" i="3"/>
  <c r="N4" i="3"/>
  <c r="N3" i="3"/>
  <c r="F22" i="3"/>
  <c r="F21" i="3"/>
  <c r="F20" i="3"/>
  <c r="F19" i="3"/>
  <c r="F18" i="3"/>
  <c r="F17" i="3"/>
  <c r="F6" i="3" s="1"/>
  <c r="F16" i="3"/>
  <c r="F15" i="3"/>
  <c r="F14" i="3"/>
  <c r="J7" i="4"/>
  <c r="J4" i="4"/>
  <c r="E22" i="3"/>
  <c r="E21" i="3"/>
  <c r="E20" i="3"/>
  <c r="E19" i="3"/>
  <c r="E18" i="3"/>
  <c r="E17" i="3"/>
  <c r="E16" i="3"/>
  <c r="E15" i="3"/>
  <c r="E14" i="3"/>
  <c r="I8" i="4" l="1"/>
  <c r="N11" i="4" l="1"/>
  <c r="J21" i="1"/>
  <c r="N18" i="1"/>
  <c r="B21" i="1"/>
  <c r="D3" i="3"/>
  <c r="D4" i="3"/>
  <c r="G4" i="3" s="1"/>
  <c r="D5" i="3"/>
  <c r="H16" i="3" s="1"/>
  <c r="D6" i="3"/>
  <c r="G6" i="3" s="1"/>
  <c r="D7" i="3"/>
  <c r="G7" i="3" s="1"/>
  <c r="D8" i="3"/>
  <c r="D9" i="3"/>
  <c r="G9" i="3" s="1"/>
  <c r="D10" i="3"/>
  <c r="G10" i="3" s="1"/>
  <c r="D11" i="3"/>
  <c r="G11" i="3" s="1"/>
  <c r="G23" i="3"/>
  <c r="L16" i="3" l="1"/>
  <c r="I16" i="3"/>
  <c r="G5" i="3"/>
  <c r="H17" i="3"/>
  <c r="G8" i="3"/>
  <c r="G3" i="3"/>
  <c r="L14" i="3"/>
  <c r="D38" i="3"/>
  <c r="D18" i="1" s="1"/>
  <c r="L17" i="3"/>
  <c r="L19" i="3"/>
  <c r="L18" i="3"/>
  <c r="H20" i="3"/>
  <c r="L20" i="3" l="1"/>
  <c r="L24" i="3" s="1"/>
  <c r="Q38" i="3"/>
  <c r="P18" i="1" s="1"/>
  <c r="K38" i="3" l="1"/>
  <c r="H18" i="3" s="1"/>
  <c r="I18" i="3" s="1"/>
  <c r="H19" i="3" l="1"/>
  <c r="I19" i="3" s="1"/>
  <c r="K24" i="3"/>
  <c r="J18" i="1"/>
  <c r="K6" i="3"/>
  <c r="L6" i="3" s="1"/>
  <c r="K4" i="3"/>
  <c r="L4" i="3" s="1"/>
  <c r="K5" i="3"/>
  <c r="L5" i="3" s="1"/>
  <c r="K11" i="3"/>
  <c r="L11" i="3" s="1"/>
  <c r="K7" i="3"/>
  <c r="L7" i="3" s="1"/>
  <c r="K8" i="3"/>
  <c r="L8" i="3" s="1"/>
  <c r="K10" i="3"/>
  <c r="L10" i="3" s="1"/>
  <c r="K3" i="3"/>
  <c r="L3" i="3" s="1"/>
  <c r="K9" i="3"/>
  <c r="L9" i="3" s="1"/>
  <c r="H15" i="3"/>
  <c r="I15" i="3" s="1"/>
  <c r="G38" i="3" l="1"/>
  <c r="G18" i="1" s="1"/>
  <c r="B38" i="3" l="1"/>
  <c r="A18" i="1" s="1"/>
</calcChain>
</file>

<file path=xl/sharedStrings.xml><?xml version="1.0" encoding="utf-8"?>
<sst xmlns="http://schemas.openxmlformats.org/spreadsheetml/2006/main" count="130" uniqueCount="101">
  <si>
    <t>ref</t>
    <phoneticPr fontId="1" type="noConversion"/>
  </si>
  <si>
    <t>count</t>
    <phoneticPr fontId="1" type="noConversion"/>
  </si>
  <si>
    <t>maintainence</t>
    <phoneticPr fontId="1" type="noConversion"/>
  </si>
  <si>
    <t>tax rate</t>
    <phoneticPr fontId="1" type="noConversion"/>
  </si>
  <si>
    <t>tax</t>
    <phoneticPr fontId="1" type="noConversion"/>
  </si>
  <si>
    <t>income</t>
    <phoneticPr fontId="1" type="noConversion"/>
  </si>
  <si>
    <t>total</t>
    <phoneticPr fontId="1" type="noConversion"/>
  </si>
  <si>
    <t>total income</t>
    <phoneticPr fontId="1" type="noConversion"/>
  </si>
  <si>
    <t>profit</t>
    <phoneticPr fontId="1" type="noConversion"/>
  </si>
  <si>
    <t>total spend</t>
    <phoneticPr fontId="1" type="noConversion"/>
  </si>
  <si>
    <t>people</t>
    <phoneticPr fontId="1" type="noConversion"/>
  </si>
  <si>
    <t>job/t</t>
    <phoneticPr fontId="1" type="noConversion"/>
  </si>
  <si>
    <t>open jobs</t>
    <phoneticPr fontId="1" type="noConversion"/>
  </si>
  <si>
    <t>cur_demand</t>
    <phoneticPr fontId="1" type="noConversion"/>
  </si>
  <si>
    <t>req. code</t>
    <phoneticPr fontId="1" type="noConversion"/>
  </si>
  <si>
    <t>ax. Income</t>
    <phoneticPr fontId="1" type="noConversion"/>
  </si>
  <si>
    <t>total job</t>
    <phoneticPr fontId="1" type="noConversion"/>
  </si>
  <si>
    <t>total people</t>
    <phoneticPr fontId="1" type="noConversion"/>
  </si>
  <si>
    <t>total jobs</t>
    <phoneticPr fontId="1" type="noConversion"/>
  </si>
  <si>
    <t>work will</t>
    <phoneticPr fontId="1" type="noConversion"/>
  </si>
  <si>
    <t>day</t>
    <phoneticPr fontId="1" type="noConversion"/>
  </si>
  <si>
    <t>money</t>
    <phoneticPr fontId="1" type="noConversion"/>
  </si>
  <si>
    <t>savings, DON'T  TOUCH</t>
    <phoneticPr fontId="1" type="noConversion"/>
  </si>
  <si>
    <t>cost</t>
    <phoneticPr fontId="1" type="noConversion"/>
  </si>
  <si>
    <t>happiness/t</t>
    <phoneticPr fontId="1" type="noConversion"/>
  </si>
  <si>
    <t>over the roof</t>
    <phoneticPr fontId="1" type="noConversion"/>
  </si>
  <si>
    <t>people_count</t>
    <phoneticPr fontId="1" type="noConversion"/>
  </si>
  <si>
    <t>cost_count</t>
    <phoneticPr fontId="1" type="noConversion"/>
  </si>
  <si>
    <t>immigrant</t>
    <phoneticPr fontId="1" type="noConversion"/>
  </si>
  <si>
    <t>delta happiness</t>
    <phoneticPr fontId="1" type="noConversion"/>
  </si>
  <si>
    <t>操作区</t>
    <phoneticPr fontId="1" type="noConversion"/>
  </si>
  <si>
    <t>地图</t>
  </si>
  <si>
    <t>净收入</t>
    <phoneticPr fontId="1" type="noConversion"/>
  </si>
  <si>
    <t>总花费</t>
    <phoneticPr fontId="1" type="noConversion"/>
  </si>
  <si>
    <t>总收入</t>
    <phoneticPr fontId="1" type="noConversion"/>
  </si>
  <si>
    <t>总人口</t>
    <phoneticPr fontId="1" type="noConversion"/>
  </si>
  <si>
    <t>总工作</t>
    <phoneticPr fontId="1" type="noConversion"/>
  </si>
  <si>
    <t>日数</t>
    <phoneticPr fontId="1" type="noConversion"/>
  </si>
  <si>
    <t>现金</t>
    <phoneticPr fontId="1" type="noConversion"/>
  </si>
  <si>
    <t>道路</t>
    <phoneticPr fontId="1" type="noConversion"/>
  </si>
  <si>
    <t>住房</t>
    <phoneticPr fontId="1" type="noConversion"/>
  </si>
  <si>
    <t>商业</t>
    <phoneticPr fontId="1" type="noConversion"/>
  </si>
  <si>
    <t>工业</t>
    <phoneticPr fontId="1" type="noConversion"/>
  </si>
  <si>
    <t>农业</t>
    <phoneticPr fontId="1" type="noConversion"/>
  </si>
  <si>
    <t>公众设施</t>
    <phoneticPr fontId="1" type="noConversion"/>
  </si>
  <si>
    <t>水电建筑</t>
    <phoneticPr fontId="1" type="noConversion"/>
  </si>
  <si>
    <t>图表</t>
    <phoneticPr fontId="1" type="noConversion"/>
  </si>
  <si>
    <t>空闲工作机会</t>
    <phoneticPr fontId="1" type="noConversion"/>
  </si>
  <si>
    <t>req/per</t>
    <phoneticPr fontId="1" type="noConversion"/>
  </si>
  <si>
    <t>demand after tax</t>
    <phoneticPr fontId="1" type="noConversion"/>
  </si>
  <si>
    <t>merely by number of people</t>
    <phoneticPr fontId="1" type="noConversion"/>
  </si>
  <si>
    <t>by jobs available</t>
    <phoneticPr fontId="1" type="noConversion"/>
  </si>
  <si>
    <t>goods</t>
    <phoneticPr fontId="1" type="noConversion"/>
  </si>
  <si>
    <t>commercial needs</t>
    <phoneticPr fontId="1" type="noConversion"/>
  </si>
  <si>
    <t>simcity4 design ref</t>
    <phoneticPr fontId="1" type="noConversion"/>
  </si>
  <si>
    <t>RCI</t>
    <phoneticPr fontId="1" type="noConversion"/>
  </si>
  <si>
    <t>commercial</t>
    <phoneticPr fontId="1" type="noConversion"/>
  </si>
  <si>
    <t>industry</t>
    <phoneticPr fontId="1" type="noConversion"/>
  </si>
  <si>
    <t>residential</t>
    <phoneticPr fontId="1" type="noConversion"/>
  </si>
  <si>
    <t>density and wealth value, how does this work in simcity4 and simcity?</t>
    <phoneticPr fontId="1" type="noConversion"/>
  </si>
  <si>
    <t>pub</t>
    <phoneticPr fontId="1" type="noConversion"/>
  </si>
  <si>
    <t>res</t>
    <phoneticPr fontId="1" type="noConversion"/>
  </si>
  <si>
    <t>maintainence</t>
    <phoneticPr fontId="1" type="noConversion"/>
  </si>
  <si>
    <t>tax</t>
    <phoneticPr fontId="1" type="noConversion"/>
  </si>
  <si>
    <t>C</t>
    <phoneticPr fontId="1" type="noConversion"/>
  </si>
  <si>
    <t>R</t>
    <phoneticPr fontId="1" type="noConversion"/>
  </si>
  <si>
    <t>I</t>
    <phoneticPr fontId="1" type="noConversion"/>
  </si>
  <si>
    <t>default</t>
    <phoneticPr fontId="1" type="noConversion"/>
  </si>
  <si>
    <t>water/elec need</t>
    <phoneticPr fontId="1" type="noConversion"/>
  </si>
  <si>
    <t>Nres/t</t>
    <phoneticPr fontId="1" type="noConversion"/>
  </si>
  <si>
    <t>Req/pop</t>
    <phoneticPr fontId="1" type="noConversion"/>
  </si>
  <si>
    <t>spend</t>
    <phoneticPr fontId="1" type="noConversion"/>
  </si>
  <si>
    <t>eco balance</t>
    <phoneticPr fontId="1" type="noConversion"/>
  </si>
  <si>
    <t>RCI cycle pace</t>
    <phoneticPr fontId="1" type="noConversion"/>
  </si>
  <si>
    <t>input range</t>
    <phoneticPr fontId="1" type="noConversion"/>
  </si>
  <si>
    <t>0-20%</t>
    <phoneticPr fontId="1" type="noConversion"/>
  </si>
  <si>
    <t>0-100%</t>
    <phoneticPr fontId="1" type="noConversion"/>
  </si>
  <si>
    <t>deminishing returns</t>
    <phoneticPr fontId="1" type="noConversion"/>
  </si>
  <si>
    <t>better to have</t>
    <phoneticPr fontId="1" type="noConversion"/>
  </si>
  <si>
    <t>add NARRATIVES to the game</t>
    <phoneticPr fontId="1" type="noConversion"/>
  </si>
  <si>
    <t>default maintainece/income ratio</t>
    <phoneticPr fontId="1" type="noConversion"/>
  </si>
  <si>
    <t>actually should be seveal separate funcs</t>
    <phoneticPr fontId="1" type="noConversion"/>
  </si>
  <si>
    <t>desired num</t>
    <phoneticPr fontId="1" type="noConversion"/>
  </si>
  <si>
    <t>pop</t>
    <phoneticPr fontId="1" type="noConversion"/>
  </si>
  <si>
    <t>settings</t>
    <phoneticPr fontId="1" type="noConversion"/>
  </si>
  <si>
    <t>land value</t>
    <phoneticPr fontId="1" type="noConversion"/>
  </si>
  <si>
    <t>use other eco theroy to back up the flow ?</t>
    <phoneticPr fontId="1" type="noConversion"/>
  </si>
  <si>
    <t>ratio</t>
    <phoneticPr fontId="1" type="noConversion"/>
  </si>
  <si>
    <t>by 王禹 2016/3/3 v0.2</t>
    <phoneticPr fontId="1" type="noConversion"/>
  </si>
  <si>
    <t>空</t>
    <phoneticPr fontId="1" type="noConversion"/>
  </si>
  <si>
    <t>connections</t>
    <phoneticPr fontId="1" type="noConversion"/>
  </si>
  <si>
    <t>speakman: tell player what's going on</t>
    <phoneticPr fontId="1" type="noConversion"/>
  </si>
  <si>
    <t>dfs check connection</t>
    <phoneticPr fontId="1" type="noConversion"/>
  </si>
  <si>
    <t>season__snowing town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</si>
  <si>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</si>
  <si>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</si>
  <si>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</si>
  <si>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</si>
  <si>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0~0.09</t>
    <phoneticPr fontId="1" type="noConversion"/>
  </si>
  <si>
    <t>0.09-0.2</t>
    <phoneticPr fontId="1" type="noConversion"/>
  </si>
  <si>
    <t>税率（0~20%）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</si>
</sst>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5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  <font>
      <b/>
      <sz val="12"/>
      <name val="华文中宋"/>
      <family val="3"/>
      <charset val="134"/>
    </font>
    <font>
      <b/>
      <sz val="11"/>
      <color rgb="FF993300"/>
      <name val="等线 Light"/>
      <family val="3"/>
      <charset val="134"/>
    </font>
    <font>
      <sz val="11"/>
      <color theme="1"/>
      <name val="等线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8" fillId="0" borderId="0" applyFont="0" applyFill="0" applyBorder="0" applyAlignment="0" applyProtection="0">
      <alignment vertical="center"/>
    </xf>
  </cellStyleXfs>
  <cellXfs count="66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0" borderId="0" xfId="0" applyFont="1"/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0" fillId="10" borderId="0" xfId="0" applyFill="1"/>
    <xf numFmtId="0" fontId="2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4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14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left" vertical="center"/>
    </xf>
    <xf numFmtId="0" fontId="9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15" borderId="0" xfId="0" applyFont="1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10" fillId="19" borderId="0" xfId="0" applyFont="1" applyFill="1"/>
    <xf numFmtId="9" fontId="11" fillId="0" borderId="0" xfId="0" applyNumberFormat="1" applyFont="1"/>
    <xf numFmtId="9" fontId="12" fillId="0" borderId="0" xfId="0" applyNumberFormat="1" applyFont="1"/>
    <xf numFmtId="0" fontId="13" fillId="18" borderId="0" xfId="0" applyFont="1" applyFill="1"/>
    <xf numFmtId="0" fontId="14" fillId="18" borderId="0" xfId="0" applyFont="1" applyFill="1"/>
    <xf numFmtId="9" fontId="15" fillId="21" borderId="0" xfId="0" applyNumberFormat="1" applyFont="1" applyFill="1" applyAlignment="1"/>
    <xf numFmtId="0" fontId="0" fillId="22" borderId="0" xfId="0" applyFill="1"/>
    <xf numFmtId="9" fontId="16" fillId="21" borderId="0" xfId="0" applyNumberFormat="1" applyFont="1" applyFill="1" applyAlignment="1"/>
    <xf numFmtId="0" fontId="0" fillId="15" borderId="0" xfId="0" applyFill="1"/>
    <xf numFmtId="0" fontId="3" fillId="20" borderId="0" xfId="0" applyFont="1" applyFill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top"/>
    </xf>
    <xf numFmtId="0" fontId="8" fillId="14" borderId="0" xfId="0" applyFont="1" applyFill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2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7" borderId="0" xfId="1" applyFont="1" applyFill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FF4747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108.33333333333333</c:v>
                </c:pt>
                <c:pt idx="1">
                  <c:v>4.8000000000000007</c:v>
                </c:pt>
                <c:pt idx="2">
                  <c:v>-1</c:v>
                </c:pt>
                <c:pt idx="3">
                  <c:v>-112.5</c:v>
                </c:pt>
                <c:pt idx="4">
                  <c:v>21.7</c:v>
                </c:pt>
                <c:pt idx="5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32104"/>
        <c:axId val="533632432"/>
      </c:barChart>
      <c:catAx>
        <c:axId val="53363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432"/>
        <c:crosses val="autoZero"/>
        <c:auto val="1"/>
        <c:lblAlgn val="ctr"/>
        <c:lblOffset val="100"/>
        <c:noMultiLvlLbl val="0"/>
      </c:catAx>
      <c:valAx>
        <c:axId val="5336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影响满足度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'raw data'!$L$14:$L$22</c:f>
              <c:numCache>
                <c:formatCode>General</c:formatCode>
                <c:ptCount val="9"/>
                <c:pt idx="0">
                  <c:v>-7.3188405797101438E-2</c:v>
                </c:pt>
                <c:pt idx="2">
                  <c:v>-0.48000000000000009</c:v>
                </c:pt>
                <c:pt idx="3">
                  <c:v>-3.2</c:v>
                </c:pt>
                <c:pt idx="4">
                  <c:v>0</c:v>
                </c:pt>
                <c:pt idx="5">
                  <c:v>10</c:v>
                </c:pt>
                <c:pt idx="6">
                  <c:v>-0.67500000000000004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A-4AA3-BE65-4F9B7562F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197936"/>
        <c:axId val="740197280"/>
      </c:barChart>
      <c:catAx>
        <c:axId val="74019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280"/>
        <c:crosses val="autoZero"/>
        <c:auto val="1"/>
        <c:lblAlgn val="ctr"/>
        <c:lblOffset val="100"/>
        <c:noMultiLvlLbl val="0"/>
      </c:catAx>
      <c:valAx>
        <c:axId val="7401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019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I$13" inc="100" max="30000" page="10" val="8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159403</xdr:colOff>
      <xdr:row>0</xdr:row>
      <xdr:rowOff>136712</xdr:rowOff>
    </xdr:from>
    <xdr:to>
      <xdr:col>25</xdr:col>
      <xdr:colOff>274824</xdr:colOff>
      <xdr:row>9</xdr:row>
      <xdr:rowOff>230282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619125</xdr:colOff>
          <xdr:row>24</xdr:row>
          <xdr:rowOff>276225</xdr:rowOff>
        </xdr:from>
        <xdr:to>
          <xdr:col>27</xdr:col>
          <xdr:colOff>257175</xdr:colOff>
          <xdr:row>27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25</xdr:row>
          <xdr:rowOff>0</xdr:rowOff>
        </xdr:from>
        <xdr:to>
          <xdr:col>25</xdr:col>
          <xdr:colOff>142875</xdr:colOff>
          <xdr:row>27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655544</xdr:colOff>
      <xdr:row>0</xdr:row>
      <xdr:rowOff>113178</xdr:rowOff>
    </xdr:from>
    <xdr:to>
      <xdr:col>32</xdr:col>
      <xdr:colOff>442632</xdr:colOff>
      <xdr:row>9</xdr:row>
      <xdr:rowOff>234202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24</xdr:row>
          <xdr:rowOff>114300</xdr:rowOff>
        </xdr:from>
        <xdr:to>
          <xdr:col>11</xdr:col>
          <xdr:colOff>257175</xdr:colOff>
          <xdr:row>26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3300"/>
                  </a:solidFill>
                  <a:latin typeface="等线 Light"/>
                  <a:ea typeface="等线 Light"/>
                </a:rPr>
                <a:t>重新开档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123825</xdr:rowOff>
        </xdr:from>
        <xdr:to>
          <xdr:col>9</xdr:col>
          <xdr:colOff>447675</xdr:colOff>
          <xdr:row>13</xdr:row>
          <xdr:rowOff>95250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AI83"/>
  <sheetViews>
    <sheetView tabSelected="1" zoomScale="85" zoomScaleNormal="85" workbookViewId="0">
      <selection activeCell="Z21" sqref="Z21"/>
    </sheetView>
  </sheetViews>
  <sheetFormatPr defaultRowHeight="15" customHeight="1"/>
  <cols>
    <col min="1" max="1" width="4.125" style="4" customWidth="1"/>
    <col min="2" max="16" width="4.125" style="2" customWidth="1"/>
    <col min="17" max="17" width="6.375" style="1" customWidth="1"/>
    <col min="18" max="18" width="4.5" customWidth="1"/>
    <col min="19" max="19" width="4.5" style="2" customWidth="1"/>
    <col min="26" max="27" width="4.875" customWidth="1"/>
  </cols>
  <sheetData>
    <row r="1" spans="1:19" ht="23.25" customHeight="1">
      <c r="A1" s="13" t="s">
        <v>88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9" ht="23.25" customHeight="1">
      <c r="I2" s="3">
        <v>1</v>
      </c>
      <c r="J2" s="3">
        <v>1</v>
      </c>
      <c r="K2" s="3">
        <v>1</v>
      </c>
      <c r="L2" s="3">
        <v>1</v>
      </c>
      <c r="M2" s="2">
        <v>0</v>
      </c>
      <c r="N2" s="3">
        <v>1</v>
      </c>
      <c r="O2" s="3">
        <v>1</v>
      </c>
      <c r="P2" s="3">
        <v>1</v>
      </c>
    </row>
    <row r="3" spans="1:19" ht="23.25" customHeight="1">
      <c r="I3" s="3">
        <v>1</v>
      </c>
      <c r="J3" s="3">
        <v>1</v>
      </c>
      <c r="K3" s="3">
        <v>1</v>
      </c>
      <c r="L3" s="3">
        <v>1</v>
      </c>
      <c r="M3" s="2">
        <v>0</v>
      </c>
      <c r="N3" s="3">
        <v>1</v>
      </c>
      <c r="O3" s="3">
        <v>1</v>
      </c>
      <c r="P3" s="3">
        <v>1</v>
      </c>
    </row>
    <row r="4" spans="1:19" ht="23.25" customHeight="1">
      <c r="I4" s="3">
        <v>1</v>
      </c>
      <c r="J4" s="3">
        <v>1</v>
      </c>
      <c r="K4" s="3">
        <v>1</v>
      </c>
      <c r="L4" s="3">
        <v>1</v>
      </c>
      <c r="M4" s="2">
        <v>0</v>
      </c>
      <c r="N4" s="3">
        <v>1</v>
      </c>
      <c r="O4" s="3">
        <v>1</v>
      </c>
      <c r="P4" s="3">
        <v>1</v>
      </c>
    </row>
    <row r="5" spans="1:19" ht="23.25" customHeight="1">
      <c r="I5" s="3">
        <v>1</v>
      </c>
      <c r="J5" s="3">
        <v>1</v>
      </c>
      <c r="K5" s="3">
        <v>1</v>
      </c>
      <c r="L5" s="3">
        <v>1</v>
      </c>
      <c r="M5" s="2">
        <v>0</v>
      </c>
      <c r="N5" s="3">
        <v>1</v>
      </c>
      <c r="O5" s="3">
        <v>1</v>
      </c>
      <c r="P5" s="3">
        <v>1</v>
      </c>
    </row>
    <row r="6" spans="1:19" ht="23.25" customHeight="1">
      <c r="C6" s="9">
        <v>2</v>
      </c>
      <c r="D6" s="9">
        <v>2</v>
      </c>
      <c r="E6" s="9">
        <v>2</v>
      </c>
      <c r="J6" s="3">
        <v>1</v>
      </c>
      <c r="K6" s="3">
        <v>1</v>
      </c>
      <c r="L6" s="3">
        <v>1</v>
      </c>
      <c r="M6" s="2">
        <v>0</v>
      </c>
      <c r="N6" s="3">
        <v>1</v>
      </c>
      <c r="O6" s="3">
        <v>1</v>
      </c>
      <c r="P6" s="3">
        <v>1</v>
      </c>
    </row>
    <row r="7" spans="1:19" ht="23.25" customHeight="1">
      <c r="C7" s="9">
        <v>2</v>
      </c>
      <c r="D7" s="9">
        <v>2</v>
      </c>
      <c r="E7" s="9">
        <v>2</v>
      </c>
      <c r="J7" s="3">
        <v>1</v>
      </c>
      <c r="K7" s="3">
        <v>1</v>
      </c>
      <c r="L7" s="3">
        <v>1</v>
      </c>
      <c r="M7" s="2">
        <v>0</v>
      </c>
      <c r="N7" s="3">
        <v>1</v>
      </c>
      <c r="O7" s="3">
        <v>1</v>
      </c>
      <c r="P7" s="3">
        <v>1</v>
      </c>
    </row>
    <row r="8" spans="1:19" ht="23.25" customHeight="1">
      <c r="C8" s="9">
        <v>2</v>
      </c>
      <c r="D8" s="9">
        <v>2</v>
      </c>
      <c r="E8" s="9">
        <v>2</v>
      </c>
      <c r="J8" s="3">
        <v>1</v>
      </c>
      <c r="K8" s="3">
        <v>1</v>
      </c>
      <c r="L8" s="3">
        <v>1</v>
      </c>
      <c r="M8" s="2">
        <v>0</v>
      </c>
      <c r="N8" s="3">
        <v>1</v>
      </c>
      <c r="O8" s="3">
        <v>1</v>
      </c>
      <c r="P8" s="3">
        <v>1</v>
      </c>
    </row>
    <row r="9" spans="1:19" ht="23.25" customHeight="1"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</row>
    <row r="10" spans="1:19" ht="23.25" customHeight="1">
      <c r="C10" s="11">
        <v>3</v>
      </c>
      <c r="D10" s="11">
        <v>3</v>
      </c>
      <c r="E10" s="11">
        <v>3</v>
      </c>
      <c r="F10" s="11">
        <v>3</v>
      </c>
      <c r="G10" s="2">
        <v>0</v>
      </c>
    </row>
    <row r="11" spans="1:19" ht="23.25" customHeight="1">
      <c r="C11" s="11">
        <v>3</v>
      </c>
      <c r="D11" s="11">
        <v>3</v>
      </c>
      <c r="E11" s="11">
        <v>3</v>
      </c>
      <c r="F11" s="11">
        <v>3</v>
      </c>
      <c r="G11" s="2">
        <v>0</v>
      </c>
    </row>
    <row r="12" spans="1:19" ht="23.25" customHeight="1">
      <c r="C12" s="11">
        <v>3</v>
      </c>
      <c r="D12" s="11">
        <v>3</v>
      </c>
      <c r="E12" s="11">
        <v>3</v>
      </c>
      <c r="F12" s="11">
        <v>3</v>
      </c>
      <c r="G12" s="2">
        <v>0</v>
      </c>
      <c r="I12" s="7">
        <v>5</v>
      </c>
      <c r="J12" s="7">
        <v>5</v>
      </c>
      <c r="K12" s="7">
        <v>5</v>
      </c>
      <c r="L12" s="7">
        <v>5</v>
      </c>
      <c r="M12" s="7">
        <v>5</v>
      </c>
    </row>
    <row r="13" spans="1:19" ht="23.25" customHeight="1">
      <c r="C13" s="11">
        <v>3</v>
      </c>
      <c r="D13" s="11">
        <v>3</v>
      </c>
      <c r="E13" s="11">
        <v>3</v>
      </c>
      <c r="F13" s="11">
        <v>3</v>
      </c>
      <c r="G13" s="2">
        <v>0</v>
      </c>
      <c r="I13" s="7">
        <v>5</v>
      </c>
      <c r="J13" s="7">
        <v>5</v>
      </c>
      <c r="K13" s="7">
        <v>5</v>
      </c>
      <c r="L13" s="7">
        <v>5</v>
      </c>
      <c r="M13" s="7">
        <v>5</v>
      </c>
    </row>
    <row r="14" spans="1:19" ht="23.25" customHeight="1"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</row>
    <row r="15" spans="1:19" ht="23.25" customHeight="1">
      <c r="I15" s="12">
        <v>6</v>
      </c>
      <c r="J15" s="12">
        <v>6</v>
      </c>
      <c r="K15" s="12">
        <v>6</v>
      </c>
      <c r="L15" s="12">
        <v>6</v>
      </c>
      <c r="M15" s="12">
        <v>6</v>
      </c>
      <c r="N15" s="12">
        <v>6</v>
      </c>
      <c r="O15" s="12">
        <v>6</v>
      </c>
      <c r="P15" s="12">
        <v>6</v>
      </c>
    </row>
    <row r="16" spans="1:19" s="4" customFormat="1" ht="23.25" customHeight="1">
      <c r="B16" s="14"/>
      <c r="C16" s="13"/>
      <c r="D16" s="13"/>
      <c r="E16" s="13"/>
      <c r="F16" s="13"/>
      <c r="G16" s="13"/>
      <c r="H16" s="13"/>
      <c r="I16" s="13"/>
      <c r="J16" s="14"/>
      <c r="K16" s="13"/>
      <c r="L16" s="13"/>
      <c r="M16" s="13"/>
      <c r="N16" s="13"/>
      <c r="O16" s="13"/>
      <c r="P16" s="16" t="s">
        <v>31</v>
      </c>
      <c r="R16" s="1"/>
      <c r="S16" s="4" t="s">
        <v>46</v>
      </c>
    </row>
    <row r="17" spans="1:35" s="24" customFormat="1" ht="23.25" customHeight="1">
      <c r="A17" s="31" t="s">
        <v>32</v>
      </c>
      <c r="B17" s="32"/>
      <c r="C17" s="33"/>
      <c r="D17" s="25" t="s">
        <v>33</v>
      </c>
      <c r="E17" s="25"/>
      <c r="F17" s="25"/>
      <c r="G17" s="25" t="s">
        <v>34</v>
      </c>
      <c r="H17" s="25"/>
      <c r="I17" s="25"/>
      <c r="J17" s="31" t="s">
        <v>47</v>
      </c>
      <c r="K17" s="32"/>
      <c r="L17" s="32"/>
      <c r="N17" s="25" t="s">
        <v>35</v>
      </c>
      <c r="O17" s="25"/>
      <c r="P17" s="26" t="s">
        <v>36</v>
      </c>
      <c r="R17" s="27"/>
      <c r="S17" s="24" t="s">
        <v>30</v>
      </c>
    </row>
    <row r="18" spans="1:35" ht="23.25" customHeight="1">
      <c r="A18" s="52">
        <f>'raw data'!B38</f>
        <v>-190.27115338282672</v>
      </c>
      <c r="B18" s="52"/>
      <c r="C18" s="52"/>
      <c r="D18">
        <f>'raw data'!D38</f>
        <v>241.1</v>
      </c>
      <c r="G18" s="53">
        <f>'raw data'!G38</f>
        <v>50.828846617173262</v>
      </c>
      <c r="H18" s="53"/>
      <c r="J18" s="57">
        <f>'raw data'!K38</f>
        <v>225</v>
      </c>
      <c r="K18" s="57"/>
      <c r="L18" s="34"/>
      <c r="N18" s="29">
        <f>'raw data'!N38</f>
        <v>138</v>
      </c>
      <c r="O18" s="29"/>
      <c r="P18" s="15">
        <f>'raw data'!Q38</f>
        <v>363</v>
      </c>
      <c r="Q18" s="24"/>
      <c r="T18" t="s">
        <v>89</v>
      </c>
    </row>
    <row r="19" spans="1:35" ht="23.25" customHeight="1">
      <c r="A19"/>
      <c r="Q19" s="24"/>
      <c r="S19" s="2">
        <v>0</v>
      </c>
      <c r="T19" t="s">
        <v>39</v>
      </c>
      <c r="W19" s="56" t="s">
        <v>100</v>
      </c>
      <c r="X19" s="56"/>
      <c r="Y19" s="56"/>
      <c r="Z19" s="56"/>
      <c r="AA19" s="56"/>
    </row>
    <row r="20" spans="1:35" ht="23.25" customHeight="1">
      <c r="A20" s="24"/>
      <c r="B20" s="30" t="s">
        <v>37</v>
      </c>
      <c r="C20" s="24"/>
      <c r="D20" s="24"/>
      <c r="E20" s="24"/>
      <c r="F20" s="24"/>
      <c r="G20" s="24"/>
      <c r="H20" s="24"/>
      <c r="I20" s="24"/>
      <c r="J20" s="55" t="s">
        <v>38</v>
      </c>
      <c r="K20" s="55"/>
      <c r="L20" s="55"/>
      <c r="M20" s="24"/>
      <c r="N20" s="24"/>
      <c r="O20" s="24"/>
      <c r="P20" s="24"/>
      <c r="Q20" s="24"/>
      <c r="S20" s="3">
        <v>1</v>
      </c>
      <c r="T20" t="s">
        <v>40</v>
      </c>
      <c r="W20" s="3">
        <v>1</v>
      </c>
      <c r="X20" t="s">
        <v>40</v>
      </c>
      <c r="Y20" s="2"/>
      <c r="Z20" s="65">
        <v>0.01</v>
      </c>
      <c r="AA20" s="65"/>
      <c r="AE20" s="2"/>
      <c r="AF20" s="2"/>
      <c r="AG20" s="2"/>
      <c r="AH20" s="2"/>
      <c r="AI20" s="2"/>
    </row>
    <row r="21" spans="1:35" ht="23.25" customHeight="1">
      <c r="A21"/>
      <c r="B21" s="51">
        <f>'raw data'!B41</f>
        <v>225</v>
      </c>
      <c r="C21" s="51"/>
      <c r="D21" s="51"/>
      <c r="E21" s="51"/>
      <c r="G21" s="21"/>
      <c r="H21" s="21"/>
      <c r="J21" s="54">
        <f>'raw data'!D41</f>
        <v>8973.4001399334684</v>
      </c>
      <c r="K21" s="54"/>
      <c r="L21" s="54"/>
      <c r="Q21" s="24"/>
      <c r="S21" s="9">
        <v>2</v>
      </c>
      <c r="T21" t="s">
        <v>41</v>
      </c>
      <c r="W21" s="9">
        <v>2</v>
      </c>
      <c r="X21" t="s">
        <v>41</v>
      </c>
      <c r="Y21" s="2"/>
      <c r="Z21" s="65">
        <v>0.09</v>
      </c>
      <c r="AA21" s="65"/>
      <c r="AE21" s="2"/>
      <c r="AF21" s="2"/>
      <c r="AG21" s="2"/>
      <c r="AH21" s="2"/>
      <c r="AI21" s="2"/>
    </row>
    <row r="22" spans="1:35" ht="23.25" customHeight="1">
      <c r="A22"/>
      <c r="Q22" s="24"/>
      <c r="S22" s="11">
        <v>3</v>
      </c>
      <c r="T22" t="s">
        <v>42</v>
      </c>
      <c r="W22" s="11">
        <v>3</v>
      </c>
      <c r="X22" t="s">
        <v>42</v>
      </c>
      <c r="Y22" s="2"/>
      <c r="Z22" s="65">
        <v>0.09</v>
      </c>
      <c r="AA22" s="65"/>
      <c r="AE22" s="2"/>
      <c r="AF22" s="2"/>
      <c r="AG22" s="2"/>
      <c r="AH22" s="2"/>
      <c r="AI22" s="2"/>
    </row>
    <row r="23" spans="1:35" ht="23.25" customHeight="1">
      <c r="A23"/>
      <c r="Q23" s="24"/>
      <c r="S23" s="8">
        <v>4</v>
      </c>
      <c r="T23" t="s">
        <v>43</v>
      </c>
      <c r="W23" s="8">
        <v>4</v>
      </c>
      <c r="X23" t="s">
        <v>43</v>
      </c>
      <c r="Y23" s="2"/>
      <c r="Z23" s="65">
        <v>0.09</v>
      </c>
      <c r="AA23" s="65"/>
      <c r="AE23" s="2"/>
      <c r="AF23" s="2"/>
      <c r="AG23" s="2"/>
      <c r="AH23" s="2"/>
      <c r="AI23" s="2"/>
    </row>
    <row r="24" spans="1:35" ht="23.25" customHeight="1">
      <c r="A24"/>
      <c r="Q24" s="24"/>
      <c r="S24" s="7">
        <v>5</v>
      </c>
      <c r="T24" t="s">
        <v>44</v>
      </c>
      <c r="AE24" s="2"/>
      <c r="AF24" s="2"/>
      <c r="AG24" s="2"/>
      <c r="AH24" s="2"/>
      <c r="AI24" s="2"/>
    </row>
    <row r="25" spans="1:35" ht="23.25" customHeight="1">
      <c r="A25"/>
      <c r="Q25" s="24"/>
      <c r="S25" s="12">
        <v>6</v>
      </c>
      <c r="T25" t="s">
        <v>45</v>
      </c>
      <c r="W25" s="2"/>
      <c r="AE25" s="2"/>
      <c r="AF25" s="2"/>
      <c r="AG25" s="2"/>
      <c r="AH25" s="2"/>
      <c r="AI25" s="2"/>
    </row>
    <row r="26" spans="1:35" ht="15" customHeight="1">
      <c r="A26"/>
      <c r="Q26" s="24"/>
      <c r="S26" s="2">
        <v>7</v>
      </c>
      <c r="W26" s="2"/>
      <c r="AE26" s="2"/>
      <c r="AF26" s="2"/>
      <c r="AG26" s="2"/>
      <c r="AH26" s="2"/>
      <c r="AI26" s="2"/>
    </row>
    <row r="27" spans="1:35" ht="15" customHeight="1">
      <c r="A27"/>
      <c r="Q27" s="24"/>
      <c r="S27" s="2">
        <v>8</v>
      </c>
      <c r="W27" s="2"/>
      <c r="AE27" s="2"/>
      <c r="AF27" s="2"/>
      <c r="AG27" s="2"/>
      <c r="AH27" s="2"/>
      <c r="AI27" s="2"/>
    </row>
    <row r="28" spans="1:35" ht="15" customHeight="1">
      <c r="A28"/>
      <c r="Q28" s="24"/>
      <c r="S28"/>
      <c r="W28" s="2"/>
      <c r="AE28" s="2"/>
      <c r="AF28" s="2"/>
      <c r="AG28" s="2"/>
      <c r="AH28" s="2"/>
      <c r="AI28" s="2"/>
    </row>
    <row r="29" spans="1:35" ht="15" customHeight="1">
      <c r="A29"/>
      <c r="Q29" s="24"/>
    </row>
    <row r="30" spans="1:35" ht="15" customHeight="1">
      <c r="A30"/>
      <c r="Q30" s="24"/>
    </row>
    <row r="31" spans="1:35" ht="15" customHeight="1">
      <c r="A31"/>
      <c r="Q31" s="24"/>
    </row>
    <row r="32" spans="1:35" ht="15" customHeight="1">
      <c r="A32"/>
      <c r="Q32" s="24"/>
    </row>
    <row r="33" spans="1:17" ht="15" customHeight="1">
      <c r="A33"/>
      <c r="Q33" s="24"/>
    </row>
    <row r="34" spans="1:17" ht="15" customHeight="1">
      <c r="A34"/>
      <c r="Q34" s="24"/>
    </row>
    <row r="35" spans="1:17" ht="15" customHeight="1">
      <c r="A35"/>
      <c r="Q35" s="24"/>
    </row>
    <row r="36" spans="1:17" ht="15" customHeight="1">
      <c r="A36"/>
      <c r="Q36" s="24"/>
    </row>
    <row r="37" spans="1:17" ht="15" customHeight="1">
      <c r="A37"/>
      <c r="Q37" s="24"/>
    </row>
    <row r="38" spans="1:17" ht="15" customHeight="1">
      <c r="A38"/>
      <c r="Q38" s="24"/>
    </row>
    <row r="39" spans="1:17" ht="15" customHeight="1">
      <c r="A39"/>
      <c r="Q39" s="24"/>
    </row>
    <row r="40" spans="1:17" ht="15" customHeight="1">
      <c r="A40"/>
      <c r="Q40" s="24"/>
    </row>
    <row r="41" spans="1:17" ht="15" customHeight="1">
      <c r="A41"/>
      <c r="Q41" s="24"/>
    </row>
    <row r="42" spans="1:17" ht="15" customHeight="1">
      <c r="A42"/>
      <c r="Q42" s="24"/>
    </row>
    <row r="43" spans="1:17" ht="15" customHeight="1">
      <c r="A43"/>
      <c r="Q43" s="24"/>
    </row>
    <row r="44" spans="1:17" ht="15" customHeight="1">
      <c r="A44"/>
      <c r="Q44" s="24"/>
    </row>
    <row r="45" spans="1:17" ht="15" customHeight="1">
      <c r="A45"/>
      <c r="Q45" s="24"/>
    </row>
    <row r="46" spans="1:17" ht="15" customHeight="1">
      <c r="A46"/>
      <c r="Q46" s="24"/>
    </row>
    <row r="47" spans="1:17" ht="15" customHeight="1">
      <c r="A47"/>
      <c r="Q47" s="24"/>
    </row>
    <row r="48" spans="1:17" ht="15" customHeight="1">
      <c r="A48"/>
      <c r="Q48" s="24"/>
    </row>
    <row r="49" spans="1:17" ht="15" customHeight="1">
      <c r="A49"/>
      <c r="Q49" s="24"/>
    </row>
    <row r="50" spans="1:17" ht="15" customHeight="1">
      <c r="A50"/>
      <c r="Q50" s="24"/>
    </row>
    <row r="51" spans="1:17" ht="15" customHeight="1">
      <c r="A51"/>
      <c r="Q51" s="24"/>
    </row>
    <row r="52" spans="1:17" ht="15" customHeight="1">
      <c r="A52"/>
      <c r="Q52" s="24"/>
    </row>
    <row r="53" spans="1:17" ht="1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</sheetData>
  <mergeCells count="7">
    <mergeCell ref="B21:E21"/>
    <mergeCell ref="A18:C18"/>
    <mergeCell ref="G18:H18"/>
    <mergeCell ref="J21:L21"/>
    <mergeCell ref="J20:L20"/>
    <mergeCell ref="W19:AA19"/>
    <mergeCell ref="J18:K18"/>
  </mergeCells>
  <phoneticPr fontId="1" type="noConversion"/>
  <dataValidations count="1">
    <dataValidation type="decimal" allowBlank="1" showInputMessage="1" showErrorMessage="1" sqref="Z20:Z23">
      <formula1>0</formula1>
      <formula2>0.2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pass_day">
                <anchor moveWithCells="1" sizeWithCells="1">
                  <from>
                    <xdr:col>25</xdr:col>
                    <xdr:colOff>619125</xdr:colOff>
                    <xdr:row>24</xdr:row>
                    <xdr:rowOff>276225</xdr:rowOff>
                  </from>
                  <to>
                    <xdr:col>27</xdr:col>
                    <xdr:colOff>257175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323850</xdr:colOff>
                    <xdr:row>25</xdr:row>
                    <xdr:rowOff>0</xdr:rowOff>
                  </from>
                  <to>
                    <xdr:col>25</xdr:col>
                    <xdr:colOff>142875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heet2.restart">
                <anchor moveWithCells="1" sizeWithCells="1">
                  <from>
                    <xdr:col>8</xdr:col>
                    <xdr:colOff>114300</xdr:colOff>
                    <xdr:row>24</xdr:row>
                    <xdr:rowOff>114300</xdr:rowOff>
                  </from>
                  <to>
                    <xdr:col>11</xdr:col>
                    <xdr:colOff>257175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41"/>
  <sheetViews>
    <sheetView zoomScaleNormal="100" workbookViewId="0">
      <selection activeCell="J4" sqref="J4"/>
    </sheetView>
  </sheetViews>
  <sheetFormatPr defaultRowHeight="14.25"/>
  <cols>
    <col min="9" max="9" width="15.75" customWidth="1"/>
  </cols>
  <sheetData>
    <row r="2" spans="2:22">
      <c r="B2" s="61" t="s">
        <v>0</v>
      </c>
      <c r="C2" s="61"/>
      <c r="D2" t="s">
        <v>1</v>
      </c>
      <c r="E2" t="s">
        <v>2</v>
      </c>
      <c r="F2" t="s">
        <v>11</v>
      </c>
      <c r="G2" t="s">
        <v>16</v>
      </c>
      <c r="H2" t="s">
        <v>5</v>
      </c>
      <c r="J2" t="s">
        <v>3</v>
      </c>
      <c r="K2" t="s">
        <v>15</v>
      </c>
      <c r="L2" t="s">
        <v>4</v>
      </c>
      <c r="N2" t="s">
        <v>23</v>
      </c>
      <c r="O2" t="s">
        <v>52</v>
      </c>
    </row>
    <row r="3" spans="2:22">
      <c r="B3" s="2">
        <v>0</v>
      </c>
      <c r="C3" t="s">
        <v>39</v>
      </c>
      <c r="D3">
        <f>COUNTIF(main!$B$2:$P$15,"="&amp;--B3&amp;"")</f>
        <v>37</v>
      </c>
      <c r="E3">
        <f>balance!M2</f>
        <v>0.3</v>
      </c>
      <c r="F3" s="5">
        <v>0.01</v>
      </c>
      <c r="G3">
        <f t="shared" ref="G3:G11" si="0">F3*D3</f>
        <v>0.37</v>
      </c>
      <c r="H3">
        <f>balance!O2</f>
        <v>0</v>
      </c>
      <c r="K3">
        <f t="shared" ref="K3" si="1">(1-MAX(0,($K$38/$Q$38)))*MIN(1,(1-($H$20/($H$20+$D$9))))*D3*H3*J3</f>
        <v>0</v>
      </c>
      <c r="L3">
        <f t="shared" ref="L3:L11" si="2">K3*J3*D3</f>
        <v>0</v>
      </c>
      <c r="N3">
        <f>balance!L2</f>
        <v>2</v>
      </c>
    </row>
    <row r="4" spans="2:22">
      <c r="B4" s="3">
        <v>1</v>
      </c>
      <c r="C4" t="s">
        <v>40</v>
      </c>
      <c r="D4">
        <f>COUNTIF(main!$B$2:$P$15,"="&amp;--B4&amp;"")</f>
        <v>46</v>
      </c>
      <c r="E4">
        <f>balance!M3</f>
        <v>0</v>
      </c>
      <c r="F4" s="5"/>
      <c r="G4">
        <f t="shared" si="0"/>
        <v>0</v>
      </c>
      <c r="H4">
        <f>balance!O3</f>
        <v>30</v>
      </c>
      <c r="J4">
        <f>main!Z20</f>
        <v>0.01</v>
      </c>
      <c r="K4">
        <f>(1-MAX(0,($K$38/$Q$38)))*MIN(1,(1-($H$20/($H$20+$D$9))))*D4*H4*J4</f>
        <v>2.8454405378904606</v>
      </c>
      <c r="L4">
        <f t="shared" si="2"/>
        <v>1.3089026474296119</v>
      </c>
      <c r="N4">
        <f>balance!L3</f>
        <v>5</v>
      </c>
    </row>
    <row r="5" spans="2:22">
      <c r="B5" s="9">
        <v>2</v>
      </c>
      <c r="C5" t="s">
        <v>41</v>
      </c>
      <c r="D5">
        <f>COUNTIF(main!$B$2:$P$15,"="&amp;--B5&amp;"")</f>
        <v>9</v>
      </c>
      <c r="E5">
        <f>balance!M4</f>
        <v>0</v>
      </c>
      <c r="F5" s="5">
        <v>2</v>
      </c>
      <c r="G5">
        <f t="shared" si="0"/>
        <v>18</v>
      </c>
      <c r="H5">
        <f>balance!O4</f>
        <v>50</v>
      </c>
      <c r="J5">
        <f>main!Z21</f>
        <v>0.09</v>
      </c>
      <c r="K5">
        <f t="shared" ref="K5:K11" si="3">(1-MAX(0,($K$38/$Q$38)))*MIN(1,(1-($H$20/($H$20+$D$9))))*D5*H5*J5</f>
        <v>8.350749404678524</v>
      </c>
      <c r="L5">
        <f t="shared" si="2"/>
        <v>6.7641070177896037</v>
      </c>
      <c r="N5">
        <f>balance!L4</f>
        <v>10</v>
      </c>
      <c r="O5">
        <v>-5</v>
      </c>
    </row>
    <row r="6" spans="2:22">
      <c r="B6" s="11">
        <v>3</v>
      </c>
      <c r="C6" t="s">
        <v>42</v>
      </c>
      <c r="D6">
        <f>COUNTIF(main!$B$2:$P$15,"="&amp;--B6&amp;"")</f>
        <v>16</v>
      </c>
      <c r="E6">
        <f>balance!M5</f>
        <v>0</v>
      </c>
      <c r="F6" s="5">
        <f>1/F17</f>
        <v>20</v>
      </c>
      <c r="G6">
        <f t="shared" si="0"/>
        <v>320</v>
      </c>
      <c r="H6">
        <f>balance!O5</f>
        <v>100</v>
      </c>
      <c r="J6">
        <f>main!Z22</f>
        <v>0.09</v>
      </c>
      <c r="K6">
        <f t="shared" si="3"/>
        <v>29.691553438856975</v>
      </c>
      <c r="L6">
        <f t="shared" si="2"/>
        <v>42.755836951954045</v>
      </c>
      <c r="N6">
        <f>balance!L5</f>
        <v>20</v>
      </c>
      <c r="O6">
        <v>3</v>
      </c>
    </row>
    <row r="7" spans="2:22">
      <c r="B7" s="8">
        <v>4</v>
      </c>
      <c r="C7" t="s">
        <v>43</v>
      </c>
      <c r="D7">
        <f>COUNTIF(main!$B$2:$P$15,"="&amp;--B7&amp;"")</f>
        <v>0</v>
      </c>
      <c r="E7">
        <f>balance!M6</f>
        <v>0</v>
      </c>
      <c r="F7" s="5">
        <v>0.2</v>
      </c>
      <c r="G7">
        <f t="shared" si="0"/>
        <v>0</v>
      </c>
      <c r="H7">
        <f>balance!O6</f>
        <v>10</v>
      </c>
      <c r="J7">
        <f>main!Z23</f>
        <v>0.09</v>
      </c>
      <c r="K7">
        <f t="shared" si="3"/>
        <v>0</v>
      </c>
      <c r="L7">
        <f t="shared" si="2"/>
        <v>0</v>
      </c>
      <c r="N7">
        <f>balance!L6</f>
        <v>1</v>
      </c>
    </row>
    <row r="8" spans="2:22">
      <c r="B8" s="7">
        <v>5</v>
      </c>
      <c r="C8" t="s">
        <v>44</v>
      </c>
      <c r="D8">
        <f>COUNTIF(main!$B$2:$P$15,"="&amp;--B8&amp;"")</f>
        <v>10</v>
      </c>
      <c r="E8">
        <f>balance!M7</f>
        <v>7</v>
      </c>
      <c r="F8" s="5">
        <v>0.1</v>
      </c>
      <c r="G8">
        <f t="shared" si="0"/>
        <v>1</v>
      </c>
      <c r="H8">
        <f>balance!O7</f>
        <v>0</v>
      </c>
      <c r="K8">
        <f t="shared" si="3"/>
        <v>0</v>
      </c>
      <c r="L8">
        <f t="shared" si="2"/>
        <v>0</v>
      </c>
      <c r="N8">
        <f>balance!L7</f>
        <v>3</v>
      </c>
    </row>
    <row r="9" spans="2:22">
      <c r="B9" s="12">
        <v>6</v>
      </c>
      <c r="C9" t="s">
        <v>45</v>
      </c>
      <c r="D9">
        <f>COUNTIF(main!$B$2:$P$15,"="&amp;--B9&amp;"")</f>
        <v>8</v>
      </c>
      <c r="E9">
        <f>balance!M8</f>
        <v>20</v>
      </c>
      <c r="F9" s="5">
        <v>3</v>
      </c>
      <c r="G9">
        <f t="shared" si="0"/>
        <v>24</v>
      </c>
      <c r="H9">
        <f>balance!O8</f>
        <v>0</v>
      </c>
      <c r="K9">
        <f t="shared" si="3"/>
        <v>0</v>
      </c>
      <c r="L9">
        <f t="shared" si="2"/>
        <v>0</v>
      </c>
      <c r="N9">
        <f>balance!L8</f>
        <v>50</v>
      </c>
    </row>
    <row r="10" spans="2:22">
      <c r="B10" s="2">
        <v>7</v>
      </c>
      <c r="D10">
        <f>COUNTIF(main!$B$2:$P$15,"="&amp;--B10&amp;"")</f>
        <v>0</v>
      </c>
      <c r="E10">
        <f>balance!M9</f>
        <v>0</v>
      </c>
      <c r="F10" s="5"/>
      <c r="G10">
        <f t="shared" si="0"/>
        <v>0</v>
      </c>
      <c r="H10">
        <f>balance!O9</f>
        <v>0</v>
      </c>
      <c r="K10">
        <f t="shared" si="3"/>
        <v>0</v>
      </c>
      <c r="L10">
        <f t="shared" si="2"/>
        <v>0</v>
      </c>
      <c r="N10">
        <f>balance!L9</f>
        <v>0</v>
      </c>
    </row>
    <row r="11" spans="2:22">
      <c r="B11" s="2">
        <v>8</v>
      </c>
      <c r="D11">
        <f>COUNTIF(main!$B$2:$P$15,"="&amp;--B11&amp;"")</f>
        <v>0</v>
      </c>
      <c r="E11">
        <f>balance!M10</f>
        <v>0</v>
      </c>
      <c r="F11" s="5"/>
      <c r="G11">
        <f t="shared" si="0"/>
        <v>0</v>
      </c>
      <c r="H11">
        <f>balance!O10</f>
        <v>0</v>
      </c>
      <c r="K11">
        <f t="shared" si="3"/>
        <v>0</v>
      </c>
      <c r="L11">
        <f t="shared" si="2"/>
        <v>0</v>
      </c>
      <c r="N11">
        <f>balance!L10</f>
        <v>0</v>
      </c>
    </row>
    <row r="12" spans="2:22">
      <c r="B12" s="2"/>
    </row>
    <row r="13" spans="2:22">
      <c r="B13" s="2"/>
      <c r="D13" t="s">
        <v>10</v>
      </c>
      <c r="E13" t="s">
        <v>68</v>
      </c>
      <c r="F13" t="s">
        <v>48</v>
      </c>
      <c r="G13" s="35" t="s">
        <v>19</v>
      </c>
      <c r="H13" t="s">
        <v>13</v>
      </c>
      <c r="I13" t="s">
        <v>49</v>
      </c>
      <c r="J13" t="s">
        <v>24</v>
      </c>
      <c r="K13" t="s">
        <v>25</v>
      </c>
      <c r="L13" t="s">
        <v>29</v>
      </c>
      <c r="N13" t="s">
        <v>54</v>
      </c>
    </row>
    <row r="14" spans="2:22">
      <c r="B14" s="2">
        <v>0</v>
      </c>
      <c r="C14" t="s">
        <v>39</v>
      </c>
      <c r="D14" s="6"/>
      <c r="E14" s="39">
        <f>balance!K2</f>
        <v>0</v>
      </c>
      <c r="F14" s="39">
        <f>balance!J2</f>
        <v>0</v>
      </c>
      <c r="G14" s="35"/>
      <c r="H14" s="62" t="s">
        <v>14</v>
      </c>
      <c r="I14" s="62"/>
      <c r="J14" s="6"/>
      <c r="K14" s="6">
        <v>0.1</v>
      </c>
      <c r="L14">
        <f>(D3/N38-1)*K14</f>
        <v>-7.3188405797101438E-2</v>
      </c>
    </row>
    <row r="15" spans="2:22">
      <c r="B15" s="3">
        <v>1</v>
      </c>
      <c r="C15" t="s">
        <v>40</v>
      </c>
      <c r="D15" s="6">
        <v>3</v>
      </c>
      <c r="E15" s="39">
        <f>balance!K3</f>
        <v>0.1</v>
      </c>
      <c r="F15" s="39">
        <f>balance!J3</f>
        <v>0.33333333329999998</v>
      </c>
      <c r="G15" s="35"/>
      <c r="H15" s="19">
        <f>K38/D15</f>
        <v>75</v>
      </c>
      <c r="I15" s="19">
        <f>IF(H15&gt;0,IF(J4&lt;=0.09,$U$17*J4+$V$17,J4*$U$19+$V$19),1)*H15</f>
        <v>108.33333333333333</v>
      </c>
      <c r="J15" s="6"/>
      <c r="K15" s="6"/>
      <c r="N15" s="36" t="s">
        <v>51</v>
      </c>
    </row>
    <row r="16" spans="2:22">
      <c r="B16" s="9">
        <v>2</v>
      </c>
      <c r="C16" t="s">
        <v>41</v>
      </c>
      <c r="D16" s="6"/>
      <c r="E16" s="39">
        <f>balance!K4</f>
        <v>0.2</v>
      </c>
      <c r="F16" s="39">
        <f>balance!J4</f>
        <v>0.1</v>
      </c>
      <c r="G16" s="35">
        <v>0.3</v>
      </c>
      <c r="H16" s="19">
        <f>F16*N38-D5</f>
        <v>4.8000000000000007</v>
      </c>
      <c r="I16" s="19">
        <f t="shared" ref="I16:I18" si="4">IF(H16&gt;0,IF(J5&lt;=0.09,$U$17*J5+$V$17,J5*$U$19+$V$19),1)*H16</f>
        <v>4.8000000000000007</v>
      </c>
      <c r="J16" s="6">
        <v>0.1</v>
      </c>
      <c r="K16" s="6"/>
      <c r="L16">
        <f>-H16*J16</f>
        <v>-0.48000000000000009</v>
      </c>
      <c r="N16" s="36" t="s">
        <v>50</v>
      </c>
      <c r="T16" t="s">
        <v>98</v>
      </c>
      <c r="U16" t="s">
        <v>96</v>
      </c>
      <c r="V16" t="s">
        <v>97</v>
      </c>
    </row>
    <row r="17" spans="2:22">
      <c r="B17" s="11">
        <v>3</v>
      </c>
      <c r="C17" t="s">
        <v>42</v>
      </c>
      <c r="D17" s="6"/>
      <c r="E17" s="39">
        <f>balance!K5</f>
        <v>0.5</v>
      </c>
      <c r="F17" s="39">
        <f>balance!J5</f>
        <v>0.05</v>
      </c>
      <c r="G17" s="35">
        <v>0.5</v>
      </c>
      <c r="H17" s="19">
        <f>-(O5*D5+O6*D6)/O6</f>
        <v>-1</v>
      </c>
      <c r="I17" s="19">
        <f t="shared" si="4"/>
        <v>-1</v>
      </c>
      <c r="J17" s="6">
        <v>-0.2</v>
      </c>
      <c r="K17" s="6"/>
      <c r="L17">
        <f>J17*D6</f>
        <v>-3.2</v>
      </c>
      <c r="N17" s="36" t="s">
        <v>53</v>
      </c>
      <c r="U17">
        <f>-0.5/0.09</f>
        <v>-5.5555555555555554</v>
      </c>
      <c r="V17">
        <v>1.5</v>
      </c>
    </row>
    <row r="18" spans="2:22">
      <c r="B18" s="8">
        <v>4</v>
      </c>
      <c r="C18" t="s">
        <v>43</v>
      </c>
      <c r="D18" s="6"/>
      <c r="E18" s="39">
        <f>balance!K6</f>
        <v>0.05</v>
      </c>
      <c r="F18" s="39">
        <f>balance!J6</f>
        <v>0</v>
      </c>
      <c r="G18" s="35">
        <v>0.1</v>
      </c>
      <c r="H18" s="19">
        <f>-K38*G18/F7</f>
        <v>-112.5</v>
      </c>
      <c r="I18" s="19">
        <f t="shared" si="4"/>
        <v>-112.5</v>
      </c>
      <c r="J18" s="6"/>
      <c r="K18" s="6"/>
      <c r="L18">
        <f>J18*D7</f>
        <v>0</v>
      </c>
      <c r="T18" t="s">
        <v>99</v>
      </c>
      <c r="U18" t="s">
        <v>94</v>
      </c>
      <c r="V18" t="s">
        <v>95</v>
      </c>
    </row>
    <row r="19" spans="2:22">
      <c r="B19" s="7">
        <v>5</v>
      </c>
      <c r="C19" t="s">
        <v>44</v>
      </c>
      <c r="D19" s="6"/>
      <c r="E19" s="39">
        <f>balance!K7</f>
        <v>3.5000000000000003E-2</v>
      </c>
      <c r="F19" s="39">
        <f>balance!J7</f>
        <v>6.6666666666666666E-2</v>
      </c>
      <c r="G19" s="35">
        <v>0.01</v>
      </c>
      <c r="H19" s="19">
        <f>MAX(0,N38*F19-D8+K38*G19/F8)</f>
        <v>21.7</v>
      </c>
      <c r="I19" s="19">
        <f>H19</f>
        <v>21.7</v>
      </c>
      <c r="J19" s="6">
        <v>1</v>
      </c>
      <c r="K19" s="6"/>
      <c r="L19">
        <f>J19*D8</f>
        <v>10</v>
      </c>
      <c r="U19">
        <f>-1/0.11</f>
        <v>-9.0909090909090917</v>
      </c>
      <c r="V19">
        <f>-0.2*U19</f>
        <v>1.8181818181818183</v>
      </c>
    </row>
    <row r="20" spans="2:22">
      <c r="B20" s="12">
        <v>6</v>
      </c>
      <c r="C20" t="s">
        <v>45</v>
      </c>
      <c r="D20" s="6"/>
      <c r="E20" s="39">
        <f>balance!K8</f>
        <v>0</v>
      </c>
      <c r="F20" s="39">
        <f>balance!J8</f>
        <v>0</v>
      </c>
      <c r="G20" s="35"/>
      <c r="H20" s="19">
        <f>SUMPRODUCT(D3:D11,E14:E22)-D9</f>
        <v>6.75</v>
      </c>
      <c r="I20" s="19">
        <f>H20</f>
        <v>6.75</v>
      </c>
      <c r="J20" s="6"/>
      <c r="K20" s="6">
        <v>0.1</v>
      </c>
      <c r="L20">
        <f>K20*(-H20)</f>
        <v>-0.67500000000000004</v>
      </c>
    </row>
    <row r="21" spans="2:22">
      <c r="B21" s="2">
        <v>7</v>
      </c>
      <c r="D21" s="6"/>
      <c r="E21" s="39">
        <f>balance!K9</f>
        <v>0</v>
      </c>
      <c r="F21" s="39">
        <f>balance!J9</f>
        <v>0</v>
      </c>
      <c r="G21" s="35"/>
      <c r="H21" s="19"/>
      <c r="I21" s="19"/>
      <c r="J21" s="6"/>
      <c r="K21" s="6"/>
    </row>
    <row r="22" spans="2:22">
      <c r="B22" s="2">
        <v>8</v>
      </c>
      <c r="D22" s="6"/>
      <c r="E22" s="39">
        <f>balance!K10</f>
        <v>0</v>
      </c>
      <c r="F22" s="39">
        <f>balance!J10</f>
        <v>0</v>
      </c>
      <c r="G22" s="35"/>
      <c r="H22" s="19"/>
      <c r="I22" s="19"/>
      <c r="J22" s="6"/>
      <c r="K22" s="6"/>
    </row>
    <row r="23" spans="2:22">
      <c r="B23" s="2"/>
      <c r="G23" s="35">
        <f>SUM(G14:G22)</f>
        <v>0.91</v>
      </c>
      <c r="K23" t="s">
        <v>28</v>
      </c>
      <c r="L23" t="s">
        <v>6</v>
      </c>
      <c r="N23" s="37" t="s">
        <v>55</v>
      </c>
      <c r="O23" s="37"/>
    </row>
    <row r="24" spans="2:22">
      <c r="B24" s="2"/>
      <c r="K24" s="5">
        <f>ROUND(IF(K38&lt;0,K38/4,L24*2),0)</f>
        <v>11</v>
      </c>
      <c r="L24">
        <f>MAX(0,SUM(L14:L22))</f>
        <v>5.5718115942028987</v>
      </c>
      <c r="N24" t="s">
        <v>58</v>
      </c>
    </row>
    <row r="25" spans="2:22">
      <c r="B25" s="18" t="s">
        <v>22</v>
      </c>
      <c r="C25" s="18"/>
      <c r="D25" s="18"/>
      <c r="E25" s="18"/>
      <c r="N25" t="s">
        <v>56</v>
      </c>
    </row>
    <row r="26" spans="2:22">
      <c r="B26" s="18"/>
      <c r="C26" s="18" t="s">
        <v>27</v>
      </c>
      <c r="D26" s="18" t="s">
        <v>26</v>
      </c>
      <c r="E26" s="18"/>
      <c r="N26" t="s">
        <v>57</v>
      </c>
    </row>
    <row r="27" spans="2:22">
      <c r="B27" s="18"/>
      <c r="C27" s="20">
        <v>241.1</v>
      </c>
      <c r="D27" s="20"/>
      <c r="E27" s="18"/>
    </row>
    <row r="28" spans="2:22">
      <c r="B28" s="10"/>
      <c r="C28" s="18"/>
      <c r="D28" s="18"/>
      <c r="E28" s="18"/>
      <c r="N28" t="s">
        <v>59</v>
      </c>
    </row>
    <row r="29" spans="2:22">
      <c r="B29" s="10"/>
      <c r="C29" s="18"/>
      <c r="D29" s="18"/>
      <c r="E29" s="18"/>
    </row>
    <row r="30" spans="2:22">
      <c r="B30" s="2"/>
    </row>
    <row r="31" spans="2:22">
      <c r="B31" s="2"/>
    </row>
    <row r="32" spans="2:22">
      <c r="B32" s="2"/>
    </row>
    <row r="33" spans="2:17">
      <c r="B33" s="23"/>
    </row>
    <row r="37" spans="2:17">
      <c r="B37" s="14" t="s">
        <v>8</v>
      </c>
      <c r="C37" s="13"/>
      <c r="D37" s="13" t="s">
        <v>9</v>
      </c>
      <c r="E37" s="13"/>
      <c r="F37" s="13"/>
      <c r="G37" s="13" t="s">
        <v>7</v>
      </c>
      <c r="H37" s="13"/>
      <c r="I37" s="13"/>
      <c r="J37" s="13"/>
      <c r="K37" s="14" t="s">
        <v>12</v>
      </c>
      <c r="L37" s="13"/>
      <c r="M37" s="13"/>
      <c r="N37" s="13" t="s">
        <v>17</v>
      </c>
      <c r="O37" s="13"/>
      <c r="P37" s="13"/>
      <c r="Q37" s="16" t="s">
        <v>18</v>
      </c>
    </row>
    <row r="38" spans="2:17" ht="15.75">
      <c r="B38" s="58">
        <f>G38-D38</f>
        <v>-190.27115338282672</v>
      </c>
      <c r="C38" s="58"/>
      <c r="D38">
        <f>SUMPRODUCT('raw data'!D3:D11,'raw data'!E3:E11)</f>
        <v>241.1</v>
      </c>
      <c r="E38" s="2"/>
      <c r="F38" s="2"/>
      <c r="G38" s="53">
        <f>SUM('raw data'!L3:L11)</f>
        <v>50.828846617173262</v>
      </c>
      <c r="H38" s="53"/>
      <c r="I38" s="28"/>
      <c r="J38" s="2"/>
      <c r="K38" s="17">
        <f>Q38-N38</f>
        <v>225</v>
      </c>
      <c r="L38" s="2"/>
      <c r="M38" s="2"/>
      <c r="N38">
        <v>138</v>
      </c>
      <c r="O38" s="2"/>
      <c r="P38" s="2"/>
      <c r="Q38" s="15">
        <f>ROUND(SUM('raw data'!G3:G11),0)</f>
        <v>363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2" t="s">
        <v>20</v>
      </c>
      <c r="C40" s="2"/>
      <c r="D40" s="59" t="s">
        <v>21</v>
      </c>
      <c r="E40" s="59"/>
      <c r="F40" s="59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225</v>
      </c>
      <c r="C41" s="2"/>
      <c r="D41" s="60">
        <v>8973.4001399334684</v>
      </c>
      <c r="E41" s="60"/>
      <c r="F41" s="60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</sheetData>
  <mergeCells count="6">
    <mergeCell ref="B38:C38"/>
    <mergeCell ref="G38:H38"/>
    <mergeCell ref="D40:F40"/>
    <mergeCell ref="D41:F41"/>
    <mergeCell ref="B2:C2"/>
    <mergeCell ref="H14:I1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K23" sqref="K23"/>
    </sheetView>
  </sheetViews>
  <sheetFormatPr defaultRowHeight="14.25"/>
  <cols>
    <col min="1" max="1" width="11.5" bestFit="1" customWidth="1"/>
    <col min="2" max="2" width="12.625" bestFit="1" customWidth="1"/>
    <col min="3" max="3" width="18.125" bestFit="1" customWidth="1"/>
    <col min="6" max="6" width="9" style="49"/>
    <col min="9" max="9" width="12.75" bestFit="1" customWidth="1"/>
    <col min="10" max="10" width="15.25" bestFit="1" customWidth="1"/>
  </cols>
  <sheetData>
    <row r="1" spans="1:15">
      <c r="G1" s="2"/>
      <c r="I1" t="s">
        <v>82</v>
      </c>
      <c r="J1" t="s">
        <v>70</v>
      </c>
      <c r="K1" t="s">
        <v>69</v>
      </c>
      <c r="L1" t="s">
        <v>23</v>
      </c>
      <c r="M1" t="s">
        <v>2</v>
      </c>
      <c r="O1" t="s">
        <v>5</v>
      </c>
    </row>
    <row r="2" spans="1:15">
      <c r="A2" s="38" t="s">
        <v>72</v>
      </c>
      <c r="B2" s="38" t="s">
        <v>71</v>
      </c>
      <c r="C2" s="38"/>
      <c r="D2" s="38" t="s">
        <v>5</v>
      </c>
      <c r="E2" s="38"/>
      <c r="G2" s="2">
        <v>0</v>
      </c>
      <c r="H2" t="s">
        <v>39</v>
      </c>
      <c r="I2">
        <f>$I$13*J2</f>
        <v>0</v>
      </c>
      <c r="J2" s="40"/>
      <c r="K2" s="40"/>
      <c r="L2" s="41">
        <v>2</v>
      </c>
      <c r="M2" s="1">
        <v>0.3</v>
      </c>
      <c r="O2" s="6"/>
    </row>
    <row r="3" spans="1:15">
      <c r="D3" s="64" t="s">
        <v>63</v>
      </c>
      <c r="E3" s="5" t="s">
        <v>65</v>
      </c>
      <c r="G3" s="3">
        <v>1</v>
      </c>
      <c r="H3" t="s">
        <v>40</v>
      </c>
      <c r="I3">
        <f t="shared" ref="I3:I10" si="0">$I$13*J3</f>
        <v>266.66666663999996</v>
      </c>
      <c r="J3" s="40">
        <v>0.33333333329999998</v>
      </c>
      <c r="K3" s="40">
        <v>0.1</v>
      </c>
      <c r="L3" s="41">
        <v>5</v>
      </c>
      <c r="M3" s="1"/>
      <c r="O3" s="6">
        <v>30</v>
      </c>
    </row>
    <row r="4" spans="1:15">
      <c r="A4" s="1" t="s">
        <v>60</v>
      </c>
      <c r="B4" s="63" t="s">
        <v>62</v>
      </c>
      <c r="D4" s="64"/>
      <c r="E4" s="5" t="s">
        <v>64</v>
      </c>
      <c r="G4" s="9">
        <v>2</v>
      </c>
      <c r="H4" t="s">
        <v>41</v>
      </c>
      <c r="I4">
        <f t="shared" si="0"/>
        <v>80</v>
      </c>
      <c r="J4" s="50">
        <f>1/10</f>
        <v>0.1</v>
      </c>
      <c r="K4" s="40">
        <v>0.2</v>
      </c>
      <c r="L4" s="41">
        <v>10</v>
      </c>
      <c r="M4" s="1"/>
      <c r="O4" s="6">
        <v>50</v>
      </c>
    </row>
    <row r="5" spans="1:15">
      <c r="A5" s="1" t="s">
        <v>61</v>
      </c>
      <c r="B5" s="63"/>
      <c r="D5" s="64"/>
      <c r="E5" s="5" t="s">
        <v>66</v>
      </c>
      <c r="G5" s="11">
        <v>3</v>
      </c>
      <c r="H5" t="s">
        <v>42</v>
      </c>
      <c r="I5">
        <f t="shared" si="0"/>
        <v>40</v>
      </c>
      <c r="J5" s="40">
        <f>1/20</f>
        <v>0.05</v>
      </c>
      <c r="K5" s="40">
        <v>0.5</v>
      </c>
      <c r="L5" s="41">
        <v>20</v>
      </c>
      <c r="M5" s="1"/>
      <c r="O5" s="6">
        <v>100</v>
      </c>
    </row>
    <row r="6" spans="1:15">
      <c r="B6" s="42">
        <v>0.8</v>
      </c>
      <c r="C6" t="s">
        <v>67</v>
      </c>
      <c r="D6" s="43">
        <v>0.09</v>
      </c>
      <c r="G6" s="8">
        <v>4</v>
      </c>
      <c r="H6" t="s">
        <v>43</v>
      </c>
      <c r="I6">
        <f t="shared" si="0"/>
        <v>0</v>
      </c>
      <c r="J6" s="40">
        <v>0</v>
      </c>
      <c r="K6" s="40">
        <v>0.05</v>
      </c>
      <c r="L6" s="41">
        <v>1</v>
      </c>
      <c r="M6" s="1"/>
      <c r="O6" s="6">
        <v>10</v>
      </c>
    </row>
    <row r="7" spans="1:15">
      <c r="B7" t="s">
        <v>76</v>
      </c>
      <c r="C7" t="s">
        <v>74</v>
      </c>
      <c r="D7" t="s">
        <v>75</v>
      </c>
      <c r="G7" s="7">
        <v>5</v>
      </c>
      <c r="H7" t="s">
        <v>44</v>
      </c>
      <c r="I7">
        <f t="shared" si="0"/>
        <v>53.333333333333336</v>
      </c>
      <c r="J7" s="40">
        <f>1/15</f>
        <v>6.6666666666666666E-2</v>
      </c>
      <c r="K7" s="40">
        <v>3.5000000000000003E-2</v>
      </c>
      <c r="L7" s="41">
        <v>3</v>
      </c>
      <c r="M7" s="1">
        <v>7</v>
      </c>
      <c r="O7" s="6"/>
    </row>
    <row r="8" spans="1:15">
      <c r="B8" s="44" t="s">
        <v>78</v>
      </c>
      <c r="C8" s="45" t="s">
        <v>77</v>
      </c>
      <c r="D8" s="38"/>
      <c r="G8" s="12">
        <v>6</v>
      </c>
      <c r="H8" t="s">
        <v>45</v>
      </c>
      <c r="I8">
        <f>SUMPRODUCT(I2:I7,K2:K7)</f>
        <v>64.533333330666665</v>
      </c>
      <c r="J8" s="40"/>
      <c r="K8" s="40"/>
      <c r="L8" s="41">
        <v>50</v>
      </c>
      <c r="M8" s="1">
        <v>20</v>
      </c>
      <c r="O8" s="6"/>
    </row>
    <row r="9" spans="1:15">
      <c r="G9" s="2">
        <v>7</v>
      </c>
      <c r="I9">
        <f t="shared" si="0"/>
        <v>0</v>
      </c>
      <c r="J9" s="40"/>
      <c r="K9" s="40"/>
      <c r="L9" s="41"/>
      <c r="M9" s="1"/>
      <c r="O9" s="6"/>
    </row>
    <row r="10" spans="1:15" ht="17.25">
      <c r="B10" s="61" t="s">
        <v>80</v>
      </c>
      <c r="C10" s="61"/>
      <c r="D10" s="46">
        <v>0.9</v>
      </c>
      <c r="G10" s="2">
        <v>8</v>
      </c>
      <c r="I10">
        <f t="shared" si="0"/>
        <v>0</v>
      </c>
      <c r="J10" s="40"/>
      <c r="K10" s="40"/>
      <c r="L10" s="41"/>
      <c r="M10" s="1"/>
      <c r="N10" t="s">
        <v>87</v>
      </c>
      <c r="O10" s="6"/>
    </row>
    <row r="11" spans="1:15" ht="17.25">
      <c r="B11" s="44" t="s">
        <v>81</v>
      </c>
      <c r="C11" s="45"/>
      <c r="D11" s="38"/>
      <c r="M11">
        <f>SUMPRODUCT(I2:I10,M2:M10)*B6</f>
        <v>1331.1999999573336</v>
      </c>
      <c r="N11" s="48">
        <f>M11/O11</f>
        <v>0.92444444446103746</v>
      </c>
      <c r="O11">
        <f>SUMPRODUCT(I2:I10,O2:O10)*D6</f>
        <v>1439.9999999279996</v>
      </c>
    </row>
    <row r="12" spans="1:15">
      <c r="H12" s="47" t="s">
        <v>84</v>
      </c>
      <c r="I12" s="47" t="s">
        <v>83</v>
      </c>
      <c r="J12" s="47"/>
      <c r="K12" s="47"/>
      <c r="L12" s="47"/>
      <c r="M12" s="47"/>
      <c r="N12" s="47"/>
      <c r="O12" s="47"/>
    </row>
    <row r="13" spans="1:15">
      <c r="H13" s="47"/>
      <c r="I13" s="47">
        <v>800</v>
      </c>
      <c r="J13" s="47"/>
      <c r="K13" s="47"/>
      <c r="L13" s="47"/>
      <c r="M13" s="47"/>
      <c r="N13" s="47"/>
      <c r="O13" s="47"/>
    </row>
    <row r="14" spans="1:15">
      <c r="H14" s="47"/>
      <c r="I14" s="47"/>
      <c r="J14" s="47"/>
      <c r="K14" s="47"/>
      <c r="L14" s="47"/>
      <c r="M14" s="47"/>
      <c r="N14" s="47"/>
      <c r="O14" s="47"/>
    </row>
    <row r="15" spans="1:15">
      <c r="H15" s="47"/>
      <c r="I15" s="47"/>
      <c r="J15" s="47"/>
      <c r="K15" s="47"/>
      <c r="L15" s="47"/>
      <c r="M15" s="47"/>
      <c r="N15" s="47"/>
      <c r="O15" s="47"/>
    </row>
    <row r="16" spans="1:15">
      <c r="H16" s="47"/>
      <c r="I16" s="47"/>
      <c r="J16" s="47"/>
      <c r="K16" s="47"/>
      <c r="L16" s="47"/>
      <c r="M16" s="47"/>
      <c r="N16" s="47"/>
      <c r="O16" s="47"/>
    </row>
    <row r="17" spans="8:15">
      <c r="H17" s="47"/>
      <c r="I17" s="47"/>
      <c r="J17" s="47"/>
      <c r="K17" s="47"/>
      <c r="L17" s="47"/>
      <c r="M17" s="47"/>
      <c r="N17" s="47"/>
      <c r="O17" s="47"/>
    </row>
    <row r="33" spans="1:5">
      <c r="A33" s="38" t="s">
        <v>73</v>
      </c>
      <c r="B33" s="38"/>
      <c r="C33" s="38"/>
      <c r="D33" s="38"/>
      <c r="E33" s="38"/>
    </row>
  </sheetData>
  <mergeCells count="3">
    <mergeCell ref="B10:C10"/>
    <mergeCell ref="B4:B5"/>
    <mergeCell ref="D3:D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123825</xdr:rowOff>
                  </from>
                  <to>
                    <xdr:col>9</xdr:col>
                    <xdr:colOff>447675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4.9989318521683403E-2"/>
  </sheetPr>
  <dimension ref="A1:C4"/>
  <sheetViews>
    <sheetView workbookViewId="0">
      <selection activeCell="C3" sqref="C3"/>
    </sheetView>
  </sheetViews>
  <sheetFormatPr defaultRowHeight="14.25"/>
  <sheetData>
    <row r="1" spans="1:3">
      <c r="A1" t="s">
        <v>92</v>
      </c>
      <c r="C1" t="s">
        <v>91</v>
      </c>
    </row>
    <row r="2" spans="1:3">
      <c r="A2" t="s">
        <v>85</v>
      </c>
      <c r="C2" t="s">
        <v>93</v>
      </c>
    </row>
    <row r="3" spans="1:3">
      <c r="A3" t="s">
        <v>90</v>
      </c>
      <c r="C3" t="s">
        <v>79</v>
      </c>
    </row>
    <row r="4" spans="1:3">
      <c r="C4" t="s">
        <v>86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David</cp:lastModifiedBy>
  <dcterms:created xsi:type="dcterms:W3CDTF">2015-06-05T18:19:34Z</dcterms:created>
  <dcterms:modified xsi:type="dcterms:W3CDTF">2016-03-03T12:20:49Z</dcterms:modified>
  <cp:category>demo</cp:category>
</cp:coreProperties>
</file>